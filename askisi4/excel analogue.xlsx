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s_report" sheetId="1" r:id="rId4"/>
  </sheets>
  <definedNames>
    <definedName localSheetId="0" name="ExternalData_1">dss_report!$A$1:$D$401</definedName>
  </definedNames>
  <calcPr/>
</workbook>
</file>

<file path=xl/sharedStrings.xml><?xml version="1.0" encoding="utf-8"?>
<sst xmlns="http://schemas.openxmlformats.org/spreadsheetml/2006/main" count="16" uniqueCount="16">
  <si>
    <t>time</t>
  </si>
  <si>
    <t>temperature_cal</t>
  </si>
  <si>
    <t>humidity_cal</t>
  </si>
  <si>
    <t>alert_drought</t>
  </si>
  <si>
    <t>Column1</t>
  </si>
  <si>
    <t>score_T</t>
  </si>
  <si>
    <t>score_H</t>
  </si>
  <si>
    <t>score</t>
  </si>
  <si>
    <t>DSS_alert</t>
  </si>
  <si>
    <t>y_true</t>
  </si>
  <si>
    <t>TP</t>
  </si>
  <si>
    <t>FP</t>
  </si>
  <si>
    <t>FN</t>
  </si>
  <si>
    <t>TN</t>
  </si>
  <si>
    <t>Precision</t>
  </si>
  <si>
    <t>Recall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</si>
</sst>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22" xfId="0" applyFont="1" applyNumberFormat="1"/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ss_repo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score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dss_report!$A$2:$A$402</c:f>
            </c:strRef>
          </c:cat>
          <c:val>
            <c:numRef>
              <c:f>dss_report!$H$2:$H$402</c:f>
              <c:numCache/>
            </c:numRef>
          </c:val>
          <c:smooth val="0"/>
        </c:ser>
        <c:axId val="380058979"/>
        <c:axId val="1025126540"/>
      </c:lineChart>
      <c:catAx>
        <c:axId val="380058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5126540"/>
      </c:catAx>
      <c:valAx>
        <c:axId val="1025126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005897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571500</xdr:colOff>
      <xdr:row>3</xdr:row>
      <xdr:rowOff>47625</xdr:rowOff>
    </xdr:from>
    <xdr:ext cx="7239000" cy="4257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E401" displayName="Table_1" name="Table_1" id="1">
  <tableColumns count="5">
    <tableColumn name="time" id="1"/>
    <tableColumn name="temperature_cal" id="2"/>
    <tableColumn name="humidity_cal" id="3"/>
    <tableColumn name="alert_drought" id="4"/>
    <tableColumn name="Column1" id="5"/>
  </tableColumns>
  <tableStyleInfo name="dss_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17.29"/>
    <col customWidth="1" min="3" max="3" width="14.14"/>
    <col customWidth="1" min="4" max="4" width="14.71"/>
    <col customWidth="1" min="5" max="3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14.25" customHeight="1">
      <c r="A2" s="4">
        <v>45444.0</v>
      </c>
      <c r="B2" s="1">
        <v>23.438648002322587</v>
      </c>
      <c r="C2" s="1">
        <v>61.21935958850165</v>
      </c>
      <c r="D2" s="1" t="b">
        <f>IF(AND(dss_report!$B2&gt;30, dss_report!$C2&lt;40), TRUE, FALSE)</f>
        <v>0</v>
      </c>
      <c r="E2" s="1"/>
      <c r="F2" s="2">
        <f>LET(
 _xlpm.t,dss_report!$B2, _xlpm.lo,18, _xlpm.hi,28,
 IF(AND(_xlpm.t&gt;=_xlpm.lo, _xlpm.t&lt;=_xlpm.hi), 1,
   IF(_xlpm.t&lt;_xlpm.lo, MAX(0, 1 - (_xlpm.lo - _xlpm.t)/(_xlpm.lo*0.5)),
             MAX(0, 1 - (_xlpm.t - _xlpm.hi)/(_xlpm.hi*0.5))
   )
 )
)</f>
        <v>1</v>
      </c>
      <c r="G2" s="2">
        <f>LET(
 _xlpm.h,dss_report!$C2, _xlpm.lo,45, _xlpm.hi,70,
 IF(AND(_xlpm.h&gt;=_xlpm.lo, _xlpm.h&lt;=_xlpm.hi), 1,
   IF(_xlpm.h&lt;_xlpm.lo, MAX(0, 1 - (_xlpm.lo - _xlpm.h)/(_xlpm.lo*0.5)),
             MAX(0, 1 - (_xlpm.h - _xlpm.hi)/(_xlpm.hi*0.5))
   )
 )
)</f>
        <v>1</v>
      </c>
      <c r="H2" s="2">
        <f t="shared" ref="H2:H401" si="1">0.6*F2 + 0.4*G2</f>
        <v>1</v>
      </c>
      <c r="I2" s="2" t="b">
        <f>IF(OR(dss_report!$D2=TRUE, H2&lt;0.3), TRUE, FALSE)</f>
        <v>0</v>
      </c>
      <c r="J2" s="2" t="b">
        <f>IF( OR( AND(dss_report!$B2&gt;31, dss_report!$C2&lt;38), H2&lt;0.25 ), TRUE, FALSE)</f>
        <v>0</v>
      </c>
      <c r="K2" s="2">
        <f t="shared" ref="K2:K401" si="2">SUMPRODUCT(--(I2=TRUE), --(J2=TRUE))</f>
        <v>0</v>
      </c>
      <c r="L2" s="2">
        <f t="shared" ref="L2:L401" si="3">SUMPRODUCT(--(I2=TRUE), --(J2=FALSE))</f>
        <v>0</v>
      </c>
      <c r="M2" s="2">
        <f t="shared" ref="M2:M401" si="4">SUMPRODUCT(--(I2=FALSE), --(J2=TRUE))</f>
        <v>0</v>
      </c>
      <c r="N2" s="2">
        <f t="shared" ref="N2:N401" si="5">SUMPRODUCT(--(I2=FALSE), --(J2=FALSE))</f>
        <v>1</v>
      </c>
      <c r="O2" s="2">
        <f t="shared" ref="O2:O402" si="6">IF(K2+L2=0, 0, K2/(K2+L2))</f>
        <v>0</v>
      </c>
      <c r="P2" s="2">
        <f t="shared" ref="P2:P402" si="7">IF(K2+M2=0, 0, K2/(K2+M2))</f>
        <v>0</v>
      </c>
    </row>
    <row r="3" ht="14.25" customHeight="1">
      <c r="A3" s="4">
        <v>45444.010416666664</v>
      </c>
      <c r="B3" s="1">
        <v>23.23038134510972</v>
      </c>
      <c r="C3" s="1">
        <v>57.242363094795834</v>
      </c>
      <c r="D3" s="1" t="b">
        <f>IF(AND(dss_report!$B3&gt;30, dss_report!$C3&lt;40), TRUE, FALSE)</f>
        <v>0</v>
      </c>
      <c r="E3" s="1"/>
      <c r="F3" s="2">
        <f>LET(
 _xlpm.t,dss_report!$B3, _xlpm.lo,18, _xlpm.hi,28,
 IF(AND(_xlpm.t&gt;=_xlpm.lo, _xlpm.t&lt;=_xlpm.hi), 1,
   IF(_xlpm.t&lt;_xlpm.lo, MAX(0, 1 - (_xlpm.lo - _xlpm.t)/(_xlpm.lo*0.5)),
             MAX(0, 1 - (_xlpm.t - _xlpm.hi)/(_xlpm.hi*0.5))
   )
 )
)</f>
        <v>1</v>
      </c>
      <c r="G3" s="2">
        <f>LET(
 _xlpm.h,dss_report!$C3, _xlpm.lo,45, _xlpm.hi,70,
 IF(AND(_xlpm.h&gt;=_xlpm.lo, _xlpm.h&lt;=_xlpm.hi), 1,
   IF(_xlpm.h&lt;_xlpm.lo, MAX(0, 1 - (_xlpm.lo - _xlpm.h)/(_xlpm.lo*0.5)),
             MAX(0, 1 - (_xlpm.h - _xlpm.hi)/(_xlpm.hi*0.5))
   )
 )
)</f>
        <v>1</v>
      </c>
      <c r="H3" s="2">
        <f t="shared" si="1"/>
        <v>1</v>
      </c>
      <c r="I3" s="2" t="b">
        <f>IF(OR(dss_report!$D3=TRUE, H3&lt;0.3), TRUE, FALSE)</f>
        <v>0</v>
      </c>
      <c r="J3" s="2" t="b">
        <f>IF( OR( AND(dss_report!$B3&gt;31, dss_report!$C3&lt;38), H3&lt;0.25 ), TRUE, FALSE)</f>
        <v>0</v>
      </c>
      <c r="K3" s="2">
        <f t="shared" si="2"/>
        <v>0</v>
      </c>
      <c r="L3" s="2">
        <f t="shared" si="3"/>
        <v>0</v>
      </c>
      <c r="M3" s="2">
        <f t="shared" si="4"/>
        <v>0</v>
      </c>
      <c r="N3" s="2">
        <f t="shared" si="5"/>
        <v>1</v>
      </c>
      <c r="O3" s="2">
        <f t="shared" si="6"/>
        <v>0</v>
      </c>
      <c r="P3" s="2">
        <f t="shared" si="7"/>
        <v>0</v>
      </c>
    </row>
    <row r="4" ht="14.25" customHeight="1">
      <c r="A4" s="4">
        <v>45444.020833333336</v>
      </c>
      <c r="B4" s="1">
        <v>24.140768180751035</v>
      </c>
      <c r="C4" s="1">
        <v>54.898811481779795</v>
      </c>
      <c r="D4" s="1" t="b">
        <f>IF(AND(dss_report!$B4&gt;30, dss_report!$C4&lt;40), TRUE, FALSE)</f>
        <v>0</v>
      </c>
      <c r="E4" s="1"/>
      <c r="F4" s="2">
        <f>LET(
 _xlpm.t,dss_report!$B4, _xlpm.lo,18, _xlpm.hi,28,
 IF(AND(_xlpm.t&gt;=_xlpm.lo, _xlpm.t&lt;=_xlpm.hi), 1,
   IF(_xlpm.t&lt;_xlpm.lo, MAX(0, 1 - (_xlpm.lo - _xlpm.t)/(_xlpm.lo*0.5)),
             MAX(0, 1 - (_xlpm.t - _xlpm.hi)/(_xlpm.hi*0.5))
   )
 )
)</f>
        <v>1</v>
      </c>
      <c r="G4" s="2">
        <f>LET(
 _xlpm.h,dss_report!$C4, _xlpm.lo,45, _xlpm.hi,70,
 IF(AND(_xlpm.h&gt;=_xlpm.lo, _xlpm.h&lt;=_xlpm.hi), 1,
   IF(_xlpm.h&lt;_xlpm.lo, MAX(0, 1 - (_xlpm.lo - _xlpm.h)/(_xlpm.lo*0.5)),
             MAX(0, 1 - (_xlpm.h - _xlpm.hi)/(_xlpm.hi*0.5))
   )
 )
)</f>
        <v>1</v>
      </c>
      <c r="H4" s="2">
        <f t="shared" si="1"/>
        <v>1</v>
      </c>
      <c r="I4" s="2" t="b">
        <f>IF(OR(dss_report!$D4=TRUE, H4&lt;0.3), TRUE, FALSE)</f>
        <v>0</v>
      </c>
      <c r="J4" s="2" t="b">
        <f>IF( OR( AND(dss_report!$B4&gt;31, dss_report!$C4&lt;38), H4&lt;0.25 ), TRUE, FALSE)</f>
        <v>0</v>
      </c>
      <c r="K4" s="2">
        <f t="shared" si="2"/>
        <v>0</v>
      </c>
      <c r="L4" s="2">
        <f t="shared" si="3"/>
        <v>0</v>
      </c>
      <c r="M4" s="2">
        <f t="shared" si="4"/>
        <v>0</v>
      </c>
      <c r="N4" s="2">
        <f t="shared" si="5"/>
        <v>1</v>
      </c>
      <c r="O4" s="2">
        <f t="shared" si="6"/>
        <v>0</v>
      </c>
      <c r="P4" s="2">
        <f t="shared" si="7"/>
        <v>0</v>
      </c>
    </row>
    <row r="5" ht="14.25" customHeight="1">
      <c r="A5" s="4">
        <v>45444.03125</v>
      </c>
      <c r="B5" s="1">
        <v>24.76563409933813</v>
      </c>
      <c r="C5" s="1">
        <v>61.545899481686824</v>
      </c>
      <c r="D5" s="1" t="b">
        <f>IF(AND(dss_report!$B5&gt;30, dss_report!$C5&lt;40), TRUE, FALSE)</f>
        <v>0</v>
      </c>
      <c r="E5" s="1"/>
      <c r="F5" s="2">
        <f>LET(
 _xlpm.t,dss_report!$B5, _xlpm.lo,18, _xlpm.hi,28,
 IF(AND(_xlpm.t&gt;=_xlpm.lo, _xlpm.t&lt;=_xlpm.hi), 1,
   IF(_xlpm.t&lt;_xlpm.lo, MAX(0, 1 - (_xlpm.lo - _xlpm.t)/(_xlpm.lo*0.5)),
             MAX(0, 1 - (_xlpm.t - _xlpm.hi)/(_xlpm.hi*0.5))
   )
 )
)</f>
        <v>1</v>
      </c>
      <c r="G5" s="2">
        <f>LET(
 _xlpm.h,dss_report!$C5, _xlpm.lo,45, _xlpm.hi,70,
 IF(AND(_xlpm.h&gt;=_xlpm.lo, _xlpm.h&lt;=_xlpm.hi), 1,
   IF(_xlpm.h&lt;_xlpm.lo, MAX(0, 1 - (_xlpm.lo - _xlpm.h)/(_xlpm.lo*0.5)),
             MAX(0, 1 - (_xlpm.h - _xlpm.hi)/(_xlpm.hi*0.5))
   )
 )
)</f>
        <v>1</v>
      </c>
      <c r="H5" s="2">
        <f t="shared" si="1"/>
        <v>1</v>
      </c>
      <c r="I5" s="2" t="b">
        <f>IF(OR(dss_report!$D5=TRUE, H5&lt;0.3), TRUE, FALSE)</f>
        <v>0</v>
      </c>
      <c r="J5" s="2" t="b">
        <f>IF( OR( AND(dss_report!$B5&gt;31, dss_report!$C5&lt;38), H5&lt;0.25 ), TRUE, FALSE)</f>
        <v>0</v>
      </c>
      <c r="K5" s="2">
        <f t="shared" si="2"/>
        <v>0</v>
      </c>
      <c r="L5" s="2">
        <f t="shared" si="3"/>
        <v>0</v>
      </c>
      <c r="M5" s="2">
        <f t="shared" si="4"/>
        <v>0</v>
      </c>
      <c r="N5" s="2">
        <f t="shared" si="5"/>
        <v>1</v>
      </c>
      <c r="O5" s="2">
        <f t="shared" si="6"/>
        <v>0</v>
      </c>
      <c r="P5" s="2">
        <f t="shared" si="7"/>
        <v>0</v>
      </c>
    </row>
    <row r="6" ht="14.25" customHeight="1">
      <c r="A6" s="4">
        <v>45444.041666666664</v>
      </c>
      <c r="B6" s="1">
        <v>25.42252572995441</v>
      </c>
      <c r="C6" s="1">
        <v>59.87764722024768</v>
      </c>
      <c r="D6" s="1" t="b">
        <f>IF(AND(dss_report!$B6&gt;30, dss_report!$C6&lt;40), TRUE, FALSE)</f>
        <v>0</v>
      </c>
      <c r="E6" s="1"/>
      <c r="F6" s="2">
        <f>LET(
 _xlpm.t,dss_report!$B6, _xlpm.lo,18, _xlpm.hi,28,
 IF(AND(_xlpm.t&gt;=_xlpm.lo, _xlpm.t&lt;=_xlpm.hi), 1,
   IF(_xlpm.t&lt;_xlpm.lo, MAX(0, 1 - (_xlpm.lo - _xlpm.t)/(_xlpm.lo*0.5)),
             MAX(0, 1 - (_xlpm.t - _xlpm.hi)/(_xlpm.hi*0.5))
   )
 )
)</f>
        <v>1</v>
      </c>
      <c r="G6" s="2">
        <f>LET(
 _xlpm.h,dss_report!$C6, _xlpm.lo,45, _xlpm.hi,70,
 IF(AND(_xlpm.h&gt;=_xlpm.lo, _xlpm.h&lt;=_xlpm.hi), 1,
   IF(_xlpm.h&lt;_xlpm.lo, MAX(0, 1 - (_xlpm.lo - _xlpm.h)/(_xlpm.lo*0.5)),
             MAX(0, 1 - (_xlpm.h - _xlpm.hi)/(_xlpm.hi*0.5))
   )
 )
)</f>
        <v>1</v>
      </c>
      <c r="H6" s="2">
        <f t="shared" si="1"/>
        <v>1</v>
      </c>
      <c r="I6" s="2" t="b">
        <f>IF(OR(dss_report!$D6=TRUE, H6&lt;0.3), TRUE, FALSE)</f>
        <v>0</v>
      </c>
      <c r="J6" s="2" t="b">
        <f>IF( OR( AND(dss_report!$B6&gt;31, dss_report!$C6&lt;38), H6&lt;0.25 ), TRUE, FALSE)</f>
        <v>0</v>
      </c>
      <c r="K6" s="2">
        <f t="shared" si="2"/>
        <v>0</v>
      </c>
      <c r="L6" s="2">
        <f t="shared" si="3"/>
        <v>0</v>
      </c>
      <c r="M6" s="2">
        <f t="shared" si="4"/>
        <v>0</v>
      </c>
      <c r="N6" s="2">
        <f t="shared" si="5"/>
        <v>1</v>
      </c>
      <c r="O6" s="2">
        <f t="shared" si="6"/>
        <v>0</v>
      </c>
      <c r="P6" s="2">
        <f t="shared" si="7"/>
        <v>0</v>
      </c>
    </row>
    <row r="7" ht="14.25" customHeight="1">
      <c r="A7" s="4">
        <v>45444.052083333336</v>
      </c>
      <c r="B7" s="1">
        <v>24.859086266902683</v>
      </c>
      <c r="C7" s="1">
        <v>58.93803639020283</v>
      </c>
      <c r="D7" s="1" t="b">
        <f>IF(AND(dss_report!$B7&gt;30, dss_report!$C7&lt;40), TRUE, FALSE)</f>
        <v>0</v>
      </c>
      <c r="E7" s="1"/>
      <c r="F7" s="2">
        <f>LET(
 _xlpm.t,dss_report!$B7, _xlpm.lo,18, _xlpm.hi,28,
 IF(AND(_xlpm.t&gt;=_xlpm.lo, _xlpm.t&lt;=_xlpm.hi), 1,
   IF(_xlpm.t&lt;_xlpm.lo, MAX(0, 1 - (_xlpm.lo - _xlpm.t)/(_xlpm.lo*0.5)),
             MAX(0, 1 - (_xlpm.t - _xlpm.hi)/(_xlpm.hi*0.5))
   )
 )
)</f>
        <v>1</v>
      </c>
      <c r="G7" s="2">
        <f>LET(
 _xlpm.h,dss_report!$C7, _xlpm.lo,45, _xlpm.hi,70,
 IF(AND(_xlpm.h&gt;=_xlpm.lo, _xlpm.h&lt;=_xlpm.hi), 1,
   IF(_xlpm.h&lt;_xlpm.lo, MAX(0, 1 - (_xlpm.lo - _xlpm.h)/(_xlpm.lo*0.5)),
             MAX(0, 1 - (_xlpm.h - _xlpm.hi)/(_xlpm.hi*0.5))
   )
 )
)</f>
        <v>1</v>
      </c>
      <c r="H7" s="2">
        <f t="shared" si="1"/>
        <v>1</v>
      </c>
      <c r="I7" s="2" t="b">
        <f>IF(OR(dss_report!$D7=TRUE, H7&lt;0.3), TRUE, FALSE)</f>
        <v>0</v>
      </c>
      <c r="J7" s="2" t="b">
        <f>IF( OR( AND(dss_report!$B7&gt;31, dss_report!$C7&lt;38), H7&lt;0.25 ), TRUE, FALSE)</f>
        <v>0</v>
      </c>
      <c r="K7" s="2">
        <f t="shared" si="2"/>
        <v>0</v>
      </c>
      <c r="L7" s="2">
        <f t="shared" si="3"/>
        <v>0</v>
      </c>
      <c r="M7" s="2">
        <f t="shared" si="4"/>
        <v>0</v>
      </c>
      <c r="N7" s="2">
        <f t="shared" si="5"/>
        <v>1</v>
      </c>
      <c r="O7" s="2">
        <f t="shared" si="6"/>
        <v>0</v>
      </c>
      <c r="P7" s="2">
        <f t="shared" si="7"/>
        <v>0</v>
      </c>
    </row>
    <row r="8" ht="14.25" customHeight="1">
      <c r="A8" s="4">
        <v>45444.0625</v>
      </c>
      <c r="B8" s="1">
        <v>24.549225002836486</v>
      </c>
      <c r="C8" s="1">
        <v>58.9227640345276</v>
      </c>
      <c r="D8" s="1" t="b">
        <f>IF(AND(dss_report!$B8&gt;30, dss_report!$C8&lt;40), TRUE, FALSE)</f>
        <v>0</v>
      </c>
      <c r="E8" s="1"/>
      <c r="F8" s="2">
        <f>LET(
 _xlpm.t,dss_report!$B8, _xlpm.lo,18, _xlpm.hi,28,
 IF(AND(_xlpm.t&gt;=_xlpm.lo, _xlpm.t&lt;=_xlpm.hi), 1,
   IF(_xlpm.t&lt;_xlpm.lo, MAX(0, 1 - (_xlpm.lo - _xlpm.t)/(_xlpm.lo*0.5)),
             MAX(0, 1 - (_xlpm.t - _xlpm.hi)/(_xlpm.hi*0.5))
   )
 )
)</f>
        <v>1</v>
      </c>
      <c r="G8" s="2">
        <f>LET(
 _xlpm.h,dss_report!$C8, _xlpm.lo,45, _xlpm.hi,70,
 IF(AND(_xlpm.h&gt;=_xlpm.lo, _xlpm.h&lt;=_xlpm.hi), 1,
   IF(_xlpm.h&lt;_xlpm.lo, MAX(0, 1 - (_xlpm.lo - _xlpm.h)/(_xlpm.lo*0.5)),
             MAX(0, 1 - (_xlpm.h - _xlpm.hi)/(_xlpm.hi*0.5))
   )
 )
)</f>
        <v>1</v>
      </c>
      <c r="H8" s="2">
        <f t="shared" si="1"/>
        <v>1</v>
      </c>
      <c r="I8" s="2" t="b">
        <f>IF(OR(dss_report!$D8=TRUE, H8&lt;0.3), TRUE, FALSE)</f>
        <v>0</v>
      </c>
      <c r="J8" s="2" t="b">
        <f>IF( OR( AND(dss_report!$B8&gt;31, dss_report!$C8&lt;38), H8&lt;0.25 ), TRUE, FALSE)</f>
        <v>0</v>
      </c>
      <c r="K8" s="2">
        <f t="shared" si="2"/>
        <v>0</v>
      </c>
      <c r="L8" s="2">
        <f t="shared" si="3"/>
        <v>0</v>
      </c>
      <c r="M8" s="2">
        <f t="shared" si="4"/>
        <v>0</v>
      </c>
      <c r="N8" s="2">
        <f t="shared" si="5"/>
        <v>1</v>
      </c>
      <c r="O8" s="2">
        <f t="shared" si="6"/>
        <v>0</v>
      </c>
      <c r="P8" s="2">
        <f t="shared" si="7"/>
        <v>0</v>
      </c>
    </row>
    <row r="9" ht="14.25" customHeight="1">
      <c r="A9" s="4">
        <v>45444.072916666664</v>
      </c>
      <c r="B9" s="1">
        <v>24.539067610640345</v>
      </c>
      <c r="C9" s="1">
        <v>57.090775045393976</v>
      </c>
      <c r="D9" s="1" t="b">
        <f>IF(AND(dss_report!$B9&gt;30, dss_report!$C9&lt;40), TRUE, FALSE)</f>
        <v>0</v>
      </c>
      <c r="E9" s="1"/>
      <c r="F9" s="2">
        <f>LET(
 _xlpm.t,dss_report!$B9, _xlpm.lo,18, _xlpm.hi,28,
 IF(AND(_xlpm.t&gt;=_xlpm.lo, _xlpm.t&lt;=_xlpm.hi), 1,
   IF(_xlpm.t&lt;_xlpm.lo, MAX(0, 1 - (_xlpm.lo - _xlpm.t)/(_xlpm.lo*0.5)),
             MAX(0, 1 - (_xlpm.t - _xlpm.hi)/(_xlpm.hi*0.5))
   )
 )
)</f>
        <v>1</v>
      </c>
      <c r="G9" s="2">
        <f>LET(
 _xlpm.h,dss_report!$C9, _xlpm.lo,45, _xlpm.hi,70,
 IF(AND(_xlpm.h&gt;=_xlpm.lo, _xlpm.h&lt;=_xlpm.hi), 1,
   IF(_xlpm.h&lt;_xlpm.lo, MAX(0, 1 - (_xlpm.lo - _xlpm.h)/(_xlpm.lo*0.5)),
             MAX(0, 1 - (_xlpm.h - _xlpm.hi)/(_xlpm.hi*0.5))
   )
 )
)</f>
        <v>1</v>
      </c>
      <c r="H9" s="2">
        <f t="shared" si="1"/>
        <v>1</v>
      </c>
      <c r="I9" s="2" t="b">
        <f>IF(OR(dss_report!$D9=TRUE, H9&lt;0.3), TRUE, FALSE)</f>
        <v>0</v>
      </c>
      <c r="J9" s="2" t="b">
        <f>IF( OR( AND(dss_report!$B9&gt;31, dss_report!$C9&lt;38), H9&lt;0.25 ), TRUE, FALSE)</f>
        <v>0</v>
      </c>
      <c r="K9" s="2">
        <f t="shared" si="2"/>
        <v>0</v>
      </c>
      <c r="L9" s="2">
        <f t="shared" si="3"/>
        <v>0</v>
      </c>
      <c r="M9" s="2">
        <f t="shared" si="4"/>
        <v>0</v>
      </c>
      <c r="N9" s="2">
        <f t="shared" si="5"/>
        <v>1</v>
      </c>
      <c r="O9" s="2">
        <f t="shared" si="6"/>
        <v>0</v>
      </c>
      <c r="P9" s="2">
        <f t="shared" si="7"/>
        <v>0</v>
      </c>
    </row>
    <row r="10" ht="14.25" customHeight="1">
      <c r="A10" s="4">
        <v>45444.083333333336</v>
      </c>
      <c r="B10" s="1">
        <v>25.76318495402266</v>
      </c>
      <c r="C10" s="1">
        <v>57.30081936768818</v>
      </c>
      <c r="D10" s="1" t="b">
        <f>IF(AND(dss_report!$B10&gt;30, dss_report!$C10&lt;40), TRUE, FALSE)</f>
        <v>0</v>
      </c>
      <c r="E10" s="1"/>
      <c r="F10" s="2">
        <f>LET(
 _xlpm.t,dss_report!$B10, _xlpm.lo,18, _xlpm.hi,28,
 IF(AND(_xlpm.t&gt;=_xlpm.lo, _xlpm.t&lt;=_xlpm.hi), 1,
   IF(_xlpm.t&lt;_xlpm.lo, MAX(0, 1 - (_xlpm.lo - _xlpm.t)/(_xlpm.lo*0.5)),
             MAX(0, 1 - (_xlpm.t - _xlpm.hi)/(_xlpm.hi*0.5))
   )
 )
)</f>
        <v>1</v>
      </c>
      <c r="G10" s="2">
        <f>LET(
 _xlpm.h,dss_report!$C10, _xlpm.lo,45, _xlpm.hi,70,
 IF(AND(_xlpm.h&gt;=_xlpm.lo, _xlpm.h&lt;=_xlpm.hi), 1,
   IF(_xlpm.h&lt;_xlpm.lo, MAX(0, 1 - (_xlpm.lo - _xlpm.h)/(_xlpm.lo*0.5)),
             MAX(0, 1 - (_xlpm.h - _xlpm.hi)/(_xlpm.hi*0.5))
   )
 )
)</f>
        <v>1</v>
      </c>
      <c r="H10" s="2">
        <f t="shared" si="1"/>
        <v>1</v>
      </c>
      <c r="I10" s="2" t="b">
        <f>IF(OR(dss_report!$D10=TRUE, H10&lt;0.3), TRUE, FALSE)</f>
        <v>0</v>
      </c>
      <c r="J10" s="2" t="b">
        <f>IF( OR( AND(dss_report!$B10&gt;31, dss_report!$C10&lt;38), H10&lt;0.25 ), TRUE, FALSE)</f>
        <v>0</v>
      </c>
      <c r="K10" s="2">
        <f t="shared" si="2"/>
        <v>0</v>
      </c>
      <c r="L10" s="2">
        <f t="shared" si="3"/>
        <v>0</v>
      </c>
      <c r="M10" s="2">
        <f t="shared" si="4"/>
        <v>0</v>
      </c>
      <c r="N10" s="2">
        <f t="shared" si="5"/>
        <v>1</v>
      </c>
      <c r="O10" s="2">
        <f t="shared" si="6"/>
        <v>0</v>
      </c>
      <c r="P10" s="2">
        <f t="shared" si="7"/>
        <v>0</v>
      </c>
    </row>
    <row r="11" ht="14.25" customHeight="1">
      <c r="A11" s="4">
        <v>45444.09375</v>
      </c>
      <c r="B11" s="1">
        <v>26.532139967071387</v>
      </c>
      <c r="C11" s="1">
        <v>59.12880440477153</v>
      </c>
      <c r="D11" s="1" t="b">
        <f>IF(AND(dss_report!$B11&gt;30, dss_report!$C11&lt;40), TRUE, FALSE)</f>
        <v>0</v>
      </c>
      <c r="E11" s="1"/>
      <c r="F11" s="2">
        <f>LET(
 _xlpm.t,dss_report!$B11, _xlpm.lo,18, _xlpm.hi,28,
 IF(AND(_xlpm.t&gt;=_xlpm.lo, _xlpm.t&lt;=_xlpm.hi), 1,
   IF(_xlpm.t&lt;_xlpm.lo, MAX(0, 1 - (_xlpm.lo - _xlpm.t)/(_xlpm.lo*0.5)),
             MAX(0, 1 - (_xlpm.t - _xlpm.hi)/(_xlpm.hi*0.5))
   )
 )
)</f>
        <v>1</v>
      </c>
      <c r="G11" s="2">
        <f>LET(
 _xlpm.h,dss_report!$C11, _xlpm.lo,45, _xlpm.hi,70,
 IF(AND(_xlpm.h&gt;=_xlpm.lo, _xlpm.h&lt;=_xlpm.hi), 1,
   IF(_xlpm.h&lt;_xlpm.lo, MAX(0, 1 - (_xlpm.lo - _xlpm.h)/(_xlpm.lo*0.5)),
             MAX(0, 1 - (_xlpm.h - _xlpm.hi)/(_xlpm.hi*0.5))
   )
 )
)</f>
        <v>1</v>
      </c>
      <c r="H11" s="2">
        <f t="shared" si="1"/>
        <v>1</v>
      </c>
      <c r="I11" s="2" t="b">
        <f>IF(OR(dss_report!$D11=TRUE, H11&lt;0.3), TRUE, FALSE)</f>
        <v>0</v>
      </c>
      <c r="J11" s="2" t="b">
        <f>IF( OR( AND(dss_report!$B11&gt;31, dss_report!$C11&lt;38), H11&lt;0.25 ), TRUE, FALSE)</f>
        <v>0</v>
      </c>
      <c r="K11" s="2">
        <f t="shared" si="2"/>
        <v>0</v>
      </c>
      <c r="L11" s="2">
        <f t="shared" si="3"/>
        <v>0</v>
      </c>
      <c r="M11" s="2">
        <f t="shared" si="4"/>
        <v>0</v>
      </c>
      <c r="N11" s="2">
        <f t="shared" si="5"/>
        <v>1</v>
      </c>
      <c r="O11" s="2">
        <f t="shared" si="6"/>
        <v>0</v>
      </c>
      <c r="P11" s="2">
        <f t="shared" si="7"/>
        <v>0</v>
      </c>
    </row>
    <row r="12" ht="14.25" customHeight="1">
      <c r="A12" s="4">
        <v>45444.104166666664</v>
      </c>
      <c r="B12" s="1">
        <v>25.725308289918317</v>
      </c>
      <c r="C12" s="1">
        <v>59.441753210335136</v>
      </c>
      <c r="D12" s="1" t="b">
        <f>IF(AND(dss_report!$B12&gt;30, dss_report!$C12&lt;40), TRUE, FALSE)</f>
        <v>0</v>
      </c>
      <c r="E12" s="1"/>
      <c r="F12" s="2">
        <f>LET(
 _xlpm.t,dss_report!$B12, _xlpm.lo,18, _xlpm.hi,28,
 IF(AND(_xlpm.t&gt;=_xlpm.lo, _xlpm.t&lt;=_xlpm.hi), 1,
   IF(_xlpm.t&lt;_xlpm.lo, MAX(0, 1 - (_xlpm.lo - _xlpm.t)/(_xlpm.lo*0.5)),
             MAX(0, 1 - (_xlpm.t - _xlpm.hi)/(_xlpm.hi*0.5))
   )
 )
)</f>
        <v>1</v>
      </c>
      <c r="G12" s="2">
        <f>LET(
 _xlpm.h,dss_report!$C12, _xlpm.lo,45, _xlpm.hi,70,
 IF(AND(_xlpm.h&gt;=_xlpm.lo, _xlpm.h&lt;=_xlpm.hi), 1,
   IF(_xlpm.h&lt;_xlpm.lo, MAX(0, 1 - (_xlpm.lo - _xlpm.h)/(_xlpm.lo*0.5)),
             MAX(0, 1 - (_xlpm.h - _xlpm.hi)/(_xlpm.hi*0.5))
   )
 )
)</f>
        <v>1</v>
      </c>
      <c r="H12" s="2">
        <f t="shared" si="1"/>
        <v>1</v>
      </c>
      <c r="I12" s="2" t="b">
        <f>IF(OR(dss_report!$D12=TRUE, H12&lt;0.3), TRUE, FALSE)</f>
        <v>0</v>
      </c>
      <c r="J12" s="2" t="b">
        <f>IF( OR( AND(dss_report!$B12&gt;31, dss_report!$C12&lt;38), H12&lt;0.25 ), TRUE, FALSE)</f>
        <v>0</v>
      </c>
      <c r="K12" s="2">
        <f t="shared" si="2"/>
        <v>0</v>
      </c>
      <c r="L12" s="2">
        <f t="shared" si="3"/>
        <v>0</v>
      </c>
      <c r="M12" s="2">
        <f t="shared" si="4"/>
        <v>0</v>
      </c>
      <c r="N12" s="2">
        <f t="shared" si="5"/>
        <v>1</v>
      </c>
      <c r="O12" s="2">
        <f t="shared" si="6"/>
        <v>0</v>
      </c>
      <c r="P12" s="2">
        <f t="shared" si="7"/>
        <v>0</v>
      </c>
    </row>
    <row r="13" ht="14.25" customHeight="1">
      <c r="A13" s="4">
        <v>45444.114583333336</v>
      </c>
      <c r="B13" s="1">
        <v>24.8152406318662</v>
      </c>
      <c r="C13" s="1">
        <v>59.38992107898991</v>
      </c>
      <c r="D13" s="1" t="b">
        <f>IF(AND(dss_report!$B13&gt;30, dss_report!$C13&lt;40), TRUE, FALSE)</f>
        <v>0</v>
      </c>
      <c r="E13" s="1"/>
      <c r="F13" s="2">
        <f>LET(
 _xlpm.t,dss_report!$B13, _xlpm.lo,18, _xlpm.hi,28,
 IF(AND(_xlpm.t&gt;=_xlpm.lo, _xlpm.t&lt;=_xlpm.hi), 1,
   IF(_xlpm.t&lt;_xlpm.lo, MAX(0, 1 - (_xlpm.lo - _xlpm.t)/(_xlpm.lo*0.5)),
             MAX(0, 1 - (_xlpm.t - _xlpm.hi)/(_xlpm.hi*0.5))
   )
 )
)</f>
        <v>1</v>
      </c>
      <c r="G13" s="2">
        <f>LET(
 _xlpm.h,dss_report!$C13, _xlpm.lo,45, _xlpm.hi,70,
 IF(AND(_xlpm.h&gt;=_xlpm.lo, _xlpm.h&lt;=_xlpm.hi), 1,
   IF(_xlpm.h&lt;_xlpm.lo, MAX(0, 1 - (_xlpm.lo - _xlpm.h)/(_xlpm.lo*0.5)),
             MAX(0, 1 - (_xlpm.h - _xlpm.hi)/(_xlpm.hi*0.5))
   )
 )
)</f>
        <v>1</v>
      </c>
      <c r="H13" s="2">
        <f t="shared" si="1"/>
        <v>1</v>
      </c>
      <c r="I13" s="2" t="b">
        <f>IF(OR(dss_report!$D13=TRUE, H13&lt;0.3), TRUE, FALSE)</f>
        <v>0</v>
      </c>
      <c r="J13" s="2" t="b">
        <f>IF( OR( AND(dss_report!$B13&gt;31, dss_report!$C13&lt;38), H13&lt;0.25 ), TRUE, FALSE)</f>
        <v>0</v>
      </c>
      <c r="K13" s="2">
        <f t="shared" si="2"/>
        <v>0</v>
      </c>
      <c r="L13" s="2">
        <f t="shared" si="3"/>
        <v>0</v>
      </c>
      <c r="M13" s="2">
        <f t="shared" si="4"/>
        <v>0</v>
      </c>
      <c r="N13" s="2">
        <f t="shared" si="5"/>
        <v>1</v>
      </c>
      <c r="O13" s="2">
        <f t="shared" si="6"/>
        <v>0</v>
      </c>
      <c r="P13" s="2">
        <f t="shared" si="7"/>
        <v>0</v>
      </c>
    </row>
    <row r="14" ht="14.25" customHeight="1">
      <c r="A14" s="4">
        <v>45444.125</v>
      </c>
      <c r="B14" s="1">
        <v>25.14938438020848</v>
      </c>
      <c r="C14" s="1">
        <v>57.86052798850048</v>
      </c>
      <c r="D14" s="1" t="b">
        <f>IF(AND(dss_report!$B14&gt;30, dss_report!$C14&lt;40), TRUE, FALSE)</f>
        <v>0</v>
      </c>
      <c r="E14" s="1"/>
      <c r="F14" s="2">
        <f>LET(
 _xlpm.t,dss_report!$B14, _xlpm.lo,18, _xlpm.hi,28,
 IF(AND(_xlpm.t&gt;=_xlpm.lo, _xlpm.t&lt;=_xlpm.hi), 1,
   IF(_xlpm.t&lt;_xlpm.lo, MAX(0, 1 - (_xlpm.lo - _xlpm.t)/(_xlpm.lo*0.5)),
             MAX(0, 1 - (_xlpm.t - _xlpm.hi)/(_xlpm.hi*0.5))
   )
 )
)</f>
        <v>1</v>
      </c>
      <c r="G14" s="2">
        <f>LET(
 _xlpm.h,dss_report!$C14, _xlpm.lo,45, _xlpm.hi,70,
 IF(AND(_xlpm.h&gt;=_xlpm.lo, _xlpm.h&lt;=_xlpm.hi), 1,
   IF(_xlpm.h&lt;_xlpm.lo, MAX(0, 1 - (_xlpm.lo - _xlpm.h)/(_xlpm.lo*0.5)),
             MAX(0, 1 - (_xlpm.h - _xlpm.hi)/(_xlpm.hi*0.5))
   )
 )
)</f>
        <v>1</v>
      </c>
      <c r="H14" s="2">
        <f t="shared" si="1"/>
        <v>1</v>
      </c>
      <c r="I14" s="2" t="b">
        <f>IF(OR(dss_report!$D14=TRUE, H14&lt;0.3), TRUE, FALSE)</f>
        <v>0</v>
      </c>
      <c r="J14" s="2" t="b">
        <f>IF( OR( AND(dss_report!$B14&gt;31, dss_report!$C14&lt;38), H14&lt;0.25 ), TRUE, FALSE)</f>
        <v>0</v>
      </c>
      <c r="K14" s="2">
        <f t="shared" si="2"/>
        <v>0</v>
      </c>
      <c r="L14" s="2">
        <f t="shared" si="3"/>
        <v>0</v>
      </c>
      <c r="M14" s="2">
        <f t="shared" si="4"/>
        <v>0</v>
      </c>
      <c r="N14" s="2">
        <f t="shared" si="5"/>
        <v>1</v>
      </c>
      <c r="O14" s="2">
        <f t="shared" si="6"/>
        <v>0</v>
      </c>
      <c r="P14" s="2">
        <f t="shared" si="7"/>
        <v>0</v>
      </c>
    </row>
    <row r="15" ht="14.25" customHeight="1">
      <c r="A15" s="4">
        <v>45444.135416666664</v>
      </c>
      <c r="B15" s="1">
        <v>27.078962059559547</v>
      </c>
      <c r="C15" s="1">
        <v>56.406004883515294</v>
      </c>
      <c r="D15" s="1" t="b">
        <f>IF(AND(dss_report!$B15&gt;30, dss_report!$C15&lt;40), TRUE, FALSE)</f>
        <v>0</v>
      </c>
      <c r="E15" s="1"/>
      <c r="F15" s="2">
        <f>LET(
 _xlpm.t,dss_report!$B15, _xlpm.lo,18, _xlpm.hi,28,
 IF(AND(_xlpm.t&gt;=_xlpm.lo, _xlpm.t&lt;=_xlpm.hi), 1,
   IF(_xlpm.t&lt;_xlpm.lo, MAX(0, 1 - (_xlpm.lo - _xlpm.t)/(_xlpm.lo*0.5)),
             MAX(0, 1 - (_xlpm.t - _xlpm.hi)/(_xlpm.hi*0.5))
   )
 )
)</f>
        <v>1</v>
      </c>
      <c r="G15" s="2">
        <f>LET(
 _xlpm.h,dss_report!$C15, _xlpm.lo,45, _xlpm.hi,70,
 IF(AND(_xlpm.h&gt;=_xlpm.lo, _xlpm.h&lt;=_xlpm.hi), 1,
   IF(_xlpm.h&lt;_xlpm.lo, MAX(0, 1 - (_xlpm.lo - _xlpm.h)/(_xlpm.lo*0.5)),
             MAX(0, 1 - (_xlpm.h - _xlpm.hi)/(_xlpm.hi*0.5))
   )
 )
)</f>
        <v>1</v>
      </c>
      <c r="H15" s="2">
        <f t="shared" si="1"/>
        <v>1</v>
      </c>
      <c r="I15" s="2" t="b">
        <f>IF(OR(dss_report!$D15=TRUE, H15&lt;0.3), TRUE, FALSE)</f>
        <v>0</v>
      </c>
      <c r="J15" s="2" t="b">
        <f>IF( OR( AND(dss_report!$B15&gt;31, dss_report!$C15&lt;38), H15&lt;0.25 ), TRUE, FALSE)</f>
        <v>0</v>
      </c>
      <c r="K15" s="2">
        <f t="shared" si="2"/>
        <v>0</v>
      </c>
      <c r="L15" s="2">
        <f t="shared" si="3"/>
        <v>0</v>
      </c>
      <c r="M15" s="2">
        <f t="shared" si="4"/>
        <v>0</v>
      </c>
      <c r="N15" s="2">
        <f t="shared" si="5"/>
        <v>1</v>
      </c>
      <c r="O15" s="2">
        <f t="shared" si="6"/>
        <v>0</v>
      </c>
      <c r="P15" s="2">
        <f t="shared" si="7"/>
        <v>0</v>
      </c>
    </row>
    <row r="16" ht="14.25" customHeight="1">
      <c r="A16" s="4">
        <v>45444.145833333336</v>
      </c>
      <c r="B16" s="1">
        <v>26.236709364307536</v>
      </c>
      <c r="C16" s="1">
        <v>56.85068262722554</v>
      </c>
      <c r="D16" s="1" t="b">
        <f>IF(AND(dss_report!$B16&gt;30, dss_report!$C16&lt;40), TRUE, FALSE)</f>
        <v>0</v>
      </c>
      <c r="E16" s="1"/>
      <c r="F16" s="2">
        <f>LET(
 _xlpm.t,dss_report!$B16, _xlpm.lo,18, _xlpm.hi,28,
 IF(AND(_xlpm.t&gt;=_xlpm.lo, _xlpm.t&lt;=_xlpm.hi), 1,
   IF(_xlpm.t&lt;_xlpm.lo, MAX(0, 1 - (_xlpm.lo - _xlpm.t)/(_xlpm.lo*0.5)),
             MAX(0, 1 - (_xlpm.t - _xlpm.hi)/(_xlpm.hi*0.5))
   )
 )
)</f>
        <v>1</v>
      </c>
      <c r="G16" s="2">
        <f>LET(
 _xlpm.h,dss_report!$C16, _xlpm.lo,45, _xlpm.hi,70,
 IF(AND(_xlpm.h&gt;=_xlpm.lo, _xlpm.h&lt;=_xlpm.hi), 1,
   IF(_xlpm.h&lt;_xlpm.lo, MAX(0, 1 - (_xlpm.lo - _xlpm.h)/(_xlpm.lo*0.5)),
             MAX(0, 1 - (_xlpm.h - _xlpm.hi)/(_xlpm.hi*0.5))
   )
 )
)</f>
        <v>1</v>
      </c>
      <c r="H16" s="2">
        <f t="shared" si="1"/>
        <v>1</v>
      </c>
      <c r="I16" s="2" t="b">
        <f>IF(OR(dss_report!$D16=TRUE, H16&lt;0.3), TRUE, FALSE)</f>
        <v>0</v>
      </c>
      <c r="J16" s="2" t="b">
        <f>IF( OR( AND(dss_report!$B16&gt;31, dss_report!$C16&lt;38), H16&lt;0.25 ), TRUE, FALSE)</f>
        <v>0</v>
      </c>
      <c r="K16" s="2">
        <f t="shared" si="2"/>
        <v>0</v>
      </c>
      <c r="L16" s="2">
        <f t="shared" si="3"/>
        <v>0</v>
      </c>
      <c r="M16" s="2">
        <f t="shared" si="4"/>
        <v>0</v>
      </c>
      <c r="N16" s="2">
        <f t="shared" si="5"/>
        <v>1</v>
      </c>
      <c r="O16" s="2">
        <f t="shared" si="6"/>
        <v>0</v>
      </c>
      <c r="P16" s="2">
        <f t="shared" si="7"/>
        <v>0</v>
      </c>
    </row>
    <row r="17" ht="14.25" customHeight="1">
      <c r="A17" s="4">
        <v>45444.15625</v>
      </c>
      <c r="B17" s="1">
        <v>25.014694154245657</v>
      </c>
      <c r="C17" s="1">
        <v>59.34295716278487</v>
      </c>
      <c r="D17" s="1" t="b">
        <f>IF(AND(dss_report!$B17&gt;30, dss_report!$C17&lt;40), TRUE, FALSE)</f>
        <v>0</v>
      </c>
      <c r="E17" s="1"/>
      <c r="F17" s="2">
        <f>LET(
 _xlpm.t,dss_report!$B17, _xlpm.lo,18, _xlpm.hi,28,
 IF(AND(_xlpm.t&gt;=_xlpm.lo, _xlpm.t&lt;=_xlpm.hi), 1,
   IF(_xlpm.t&lt;_xlpm.lo, MAX(0, 1 - (_xlpm.lo - _xlpm.t)/(_xlpm.lo*0.5)),
             MAX(0, 1 - (_xlpm.t - _xlpm.hi)/(_xlpm.hi*0.5))
   )
 )
)</f>
        <v>1</v>
      </c>
      <c r="G17" s="2">
        <f>LET(
 _xlpm.h,dss_report!$C17, _xlpm.lo,45, _xlpm.hi,70,
 IF(AND(_xlpm.h&gt;=_xlpm.lo, _xlpm.h&lt;=_xlpm.hi), 1,
   IF(_xlpm.h&lt;_xlpm.lo, MAX(0, 1 - (_xlpm.lo - _xlpm.h)/(_xlpm.lo*0.5)),
             MAX(0, 1 - (_xlpm.h - _xlpm.hi)/(_xlpm.hi*0.5))
   )
 )
)</f>
        <v>1</v>
      </c>
      <c r="H17" s="2">
        <f t="shared" si="1"/>
        <v>1</v>
      </c>
      <c r="I17" s="2" t="b">
        <f>IF(OR(dss_report!$D17=TRUE, H17&lt;0.3), TRUE, FALSE)</f>
        <v>0</v>
      </c>
      <c r="J17" s="2" t="b">
        <f>IF( OR( AND(dss_report!$B17&gt;31, dss_report!$C17&lt;38), H17&lt;0.25 ), TRUE, FALSE)</f>
        <v>0</v>
      </c>
      <c r="K17" s="2">
        <f t="shared" si="2"/>
        <v>0</v>
      </c>
      <c r="L17" s="2">
        <f t="shared" si="3"/>
        <v>0</v>
      </c>
      <c r="M17" s="2">
        <f t="shared" si="4"/>
        <v>0</v>
      </c>
      <c r="N17" s="2">
        <f t="shared" si="5"/>
        <v>1</v>
      </c>
      <c r="O17" s="2">
        <f t="shared" si="6"/>
        <v>0</v>
      </c>
      <c r="P17" s="2">
        <f t="shared" si="7"/>
        <v>0</v>
      </c>
    </row>
    <row r="18" ht="14.25" customHeight="1">
      <c r="A18" s="4">
        <v>45444.166666666664</v>
      </c>
      <c r="B18" s="1">
        <v>26.297646700482087</v>
      </c>
      <c r="C18" s="1">
        <v>59.88542885423127</v>
      </c>
      <c r="D18" s="1" t="b">
        <f>IF(AND(dss_report!$B18&gt;30, dss_report!$C18&lt;40), TRUE, FALSE)</f>
        <v>0</v>
      </c>
      <c r="E18" s="1"/>
      <c r="F18" s="2">
        <f>LET(
 _xlpm.t,dss_report!$B18, _xlpm.lo,18, _xlpm.hi,28,
 IF(AND(_xlpm.t&gt;=_xlpm.lo, _xlpm.t&lt;=_xlpm.hi), 1,
   IF(_xlpm.t&lt;_xlpm.lo, MAX(0, 1 - (_xlpm.lo - _xlpm.t)/(_xlpm.lo*0.5)),
             MAX(0, 1 - (_xlpm.t - _xlpm.hi)/(_xlpm.hi*0.5))
   )
 )
)</f>
        <v>1</v>
      </c>
      <c r="G18" s="2">
        <f>LET(
 _xlpm.h,dss_report!$C18, _xlpm.lo,45, _xlpm.hi,70,
 IF(AND(_xlpm.h&gt;=_xlpm.lo, _xlpm.h&lt;=_xlpm.hi), 1,
   IF(_xlpm.h&lt;_xlpm.lo, MAX(0, 1 - (_xlpm.lo - _xlpm.h)/(_xlpm.lo*0.5)),
             MAX(0, 1 - (_xlpm.h - _xlpm.hi)/(_xlpm.hi*0.5))
   )
 )
)</f>
        <v>1</v>
      </c>
      <c r="H18" s="2">
        <f t="shared" si="1"/>
        <v>1</v>
      </c>
      <c r="I18" s="2" t="b">
        <f>IF(OR(dss_report!$D18=TRUE, H18&lt;0.3), TRUE, FALSE)</f>
        <v>0</v>
      </c>
      <c r="J18" s="2" t="b">
        <f>IF( OR( AND(dss_report!$B18&gt;31, dss_report!$C18&lt;38), H18&lt;0.25 ), TRUE, FALSE)</f>
        <v>0</v>
      </c>
      <c r="K18" s="2">
        <f t="shared" si="2"/>
        <v>0</v>
      </c>
      <c r="L18" s="2">
        <f t="shared" si="3"/>
        <v>0</v>
      </c>
      <c r="M18" s="2">
        <f t="shared" si="4"/>
        <v>0</v>
      </c>
      <c r="N18" s="2">
        <f t="shared" si="5"/>
        <v>1</v>
      </c>
      <c r="O18" s="2">
        <f t="shared" si="6"/>
        <v>0</v>
      </c>
      <c r="P18" s="2">
        <f t="shared" si="7"/>
        <v>0</v>
      </c>
    </row>
    <row r="19" ht="14.25" customHeight="1">
      <c r="A19" s="4">
        <v>45444.177083333336</v>
      </c>
      <c r="B19" s="1">
        <v>25.66736997173929</v>
      </c>
      <c r="C19" s="1">
        <v>56.197854359013824</v>
      </c>
      <c r="D19" s="1" t="b">
        <f>IF(AND(dss_report!$B19&gt;30, dss_report!$C19&lt;40), TRUE, FALSE)</f>
        <v>0</v>
      </c>
      <c r="E19" s="1"/>
      <c r="F19" s="2">
        <f>LET(
 _xlpm.t,dss_report!$B19, _xlpm.lo,18, _xlpm.hi,28,
 IF(AND(_xlpm.t&gt;=_xlpm.lo, _xlpm.t&lt;=_xlpm.hi), 1,
   IF(_xlpm.t&lt;_xlpm.lo, MAX(0, 1 - (_xlpm.lo - _xlpm.t)/(_xlpm.lo*0.5)),
             MAX(0, 1 - (_xlpm.t - _xlpm.hi)/(_xlpm.hi*0.5))
   )
 )
)</f>
        <v>1</v>
      </c>
      <c r="G19" s="2">
        <f>LET(
 _xlpm.h,dss_report!$C19, _xlpm.lo,45, _xlpm.hi,70,
 IF(AND(_xlpm.h&gt;=_xlpm.lo, _xlpm.h&lt;=_xlpm.hi), 1,
   IF(_xlpm.h&lt;_xlpm.lo, MAX(0, 1 - (_xlpm.lo - _xlpm.h)/(_xlpm.lo*0.5)),
             MAX(0, 1 - (_xlpm.h - _xlpm.hi)/(_xlpm.hi*0.5))
   )
 )
)</f>
        <v>1</v>
      </c>
      <c r="H19" s="2">
        <f t="shared" si="1"/>
        <v>1</v>
      </c>
      <c r="I19" s="2" t="b">
        <f>IF(OR(dss_report!$D19=TRUE, H19&lt;0.3), TRUE, FALSE)</f>
        <v>0</v>
      </c>
      <c r="J19" s="2" t="b">
        <f>IF( OR( AND(dss_report!$B19&gt;31, dss_report!$C19&lt;38), H19&lt;0.25 ), TRUE, FALSE)</f>
        <v>0</v>
      </c>
      <c r="K19" s="2">
        <f t="shared" si="2"/>
        <v>0</v>
      </c>
      <c r="L19" s="2">
        <f t="shared" si="3"/>
        <v>0</v>
      </c>
      <c r="M19" s="2">
        <f t="shared" si="4"/>
        <v>0</v>
      </c>
      <c r="N19" s="2">
        <f t="shared" si="5"/>
        <v>1</v>
      </c>
      <c r="O19" s="2">
        <f t="shared" si="6"/>
        <v>0</v>
      </c>
      <c r="P19" s="2">
        <f t="shared" si="7"/>
        <v>0</v>
      </c>
    </row>
    <row r="20" ht="14.25" customHeight="1">
      <c r="A20" s="4">
        <v>45444.1875</v>
      </c>
      <c r="B20" s="1">
        <v>26.162674912304087</v>
      </c>
      <c r="C20" s="1">
        <v>55.79393337081015</v>
      </c>
      <c r="D20" s="1" t="b">
        <f>IF(AND(dss_report!$B20&gt;30, dss_report!$C20&lt;40), TRUE, FALSE)</f>
        <v>0</v>
      </c>
      <c r="E20" s="1"/>
      <c r="F20" s="2">
        <f>LET(
 _xlpm.t,dss_report!$B20, _xlpm.lo,18, _xlpm.hi,28,
 IF(AND(_xlpm.t&gt;=_xlpm.lo, _xlpm.t&lt;=_xlpm.hi), 1,
   IF(_xlpm.t&lt;_xlpm.lo, MAX(0, 1 - (_xlpm.lo - _xlpm.t)/(_xlpm.lo*0.5)),
             MAX(0, 1 - (_xlpm.t - _xlpm.hi)/(_xlpm.hi*0.5))
   )
 )
)</f>
        <v>1</v>
      </c>
      <c r="G20" s="2">
        <f>LET(
 _xlpm.h,dss_report!$C20, _xlpm.lo,45, _xlpm.hi,70,
 IF(AND(_xlpm.h&gt;=_xlpm.lo, _xlpm.h&lt;=_xlpm.hi), 1,
   IF(_xlpm.h&lt;_xlpm.lo, MAX(0, 1 - (_xlpm.lo - _xlpm.h)/(_xlpm.lo*0.5)),
             MAX(0, 1 - (_xlpm.h - _xlpm.hi)/(_xlpm.hi*0.5))
   )
 )
)</f>
        <v>1</v>
      </c>
      <c r="H20" s="2">
        <f t="shared" si="1"/>
        <v>1</v>
      </c>
      <c r="I20" s="2" t="b">
        <f>IF(OR(dss_report!$D20=TRUE, H20&lt;0.3), TRUE, FALSE)</f>
        <v>0</v>
      </c>
      <c r="J20" s="2" t="b">
        <f>IF( OR( AND(dss_report!$B20&gt;31, dss_report!$C20&lt;38), H20&lt;0.25 ), TRUE, FALSE)</f>
        <v>0</v>
      </c>
      <c r="K20" s="2">
        <f t="shared" si="2"/>
        <v>0</v>
      </c>
      <c r="L20" s="2">
        <f t="shared" si="3"/>
        <v>0</v>
      </c>
      <c r="M20" s="2">
        <f t="shared" si="4"/>
        <v>0</v>
      </c>
      <c r="N20" s="2">
        <f t="shared" si="5"/>
        <v>1</v>
      </c>
      <c r="O20" s="2">
        <f t="shared" si="6"/>
        <v>0</v>
      </c>
      <c r="P20" s="2">
        <f t="shared" si="7"/>
        <v>0</v>
      </c>
    </row>
    <row r="21" ht="14.25" customHeight="1">
      <c r="A21" s="4">
        <v>45444.197916666664</v>
      </c>
      <c r="B21" s="1">
        <v>26.379086874789877</v>
      </c>
      <c r="C21" s="1">
        <v>59.10500953442335</v>
      </c>
      <c r="D21" s="1" t="b">
        <f>IF(AND(dss_report!$B21&gt;30, dss_report!$C21&lt;40), TRUE, FALSE)</f>
        <v>0</v>
      </c>
      <c r="E21" s="1"/>
      <c r="F21" s="2">
        <f>LET(
 _xlpm.t,dss_report!$B21, _xlpm.lo,18, _xlpm.hi,28,
 IF(AND(_xlpm.t&gt;=_xlpm.lo, _xlpm.t&lt;=_xlpm.hi), 1,
   IF(_xlpm.t&lt;_xlpm.lo, MAX(0, 1 - (_xlpm.lo - _xlpm.t)/(_xlpm.lo*0.5)),
             MAX(0, 1 - (_xlpm.t - _xlpm.hi)/(_xlpm.hi*0.5))
   )
 )
)</f>
        <v>1</v>
      </c>
      <c r="G21" s="2">
        <f>LET(
 _xlpm.h,dss_report!$C21, _xlpm.lo,45, _xlpm.hi,70,
 IF(AND(_xlpm.h&gt;=_xlpm.lo, _xlpm.h&lt;=_xlpm.hi), 1,
   IF(_xlpm.h&lt;_xlpm.lo, MAX(0, 1 - (_xlpm.lo - _xlpm.h)/(_xlpm.lo*0.5)),
             MAX(0, 1 - (_xlpm.h - _xlpm.hi)/(_xlpm.hi*0.5))
   )
 )
)</f>
        <v>1</v>
      </c>
      <c r="H21" s="2">
        <f t="shared" si="1"/>
        <v>1</v>
      </c>
      <c r="I21" s="2" t="b">
        <f>IF(OR(dss_report!$D21=TRUE, H21&lt;0.3), TRUE, FALSE)</f>
        <v>0</v>
      </c>
      <c r="J21" s="2" t="b">
        <f>IF( OR( AND(dss_report!$B21&gt;31, dss_report!$C21&lt;38), H21&lt;0.25 ), TRUE, FALSE)</f>
        <v>0</v>
      </c>
      <c r="K21" s="2">
        <f t="shared" si="2"/>
        <v>0</v>
      </c>
      <c r="L21" s="2">
        <f t="shared" si="3"/>
        <v>0</v>
      </c>
      <c r="M21" s="2">
        <f t="shared" si="4"/>
        <v>0</v>
      </c>
      <c r="N21" s="2">
        <f t="shared" si="5"/>
        <v>1</v>
      </c>
      <c r="O21" s="2">
        <f t="shared" si="6"/>
        <v>0</v>
      </c>
      <c r="P21" s="2">
        <f t="shared" si="7"/>
        <v>0</v>
      </c>
    </row>
    <row r="22" ht="14.25" customHeight="1">
      <c r="A22" s="4">
        <v>45444.208333333336</v>
      </c>
      <c r="B22" s="1">
        <v>26.33466980388749</v>
      </c>
      <c r="C22" s="1">
        <v>57.912021140156725</v>
      </c>
      <c r="D22" s="1" t="b">
        <f>IF(AND(dss_report!$B22&gt;30, dss_report!$C22&lt;40), TRUE, FALSE)</f>
        <v>0</v>
      </c>
      <c r="E22" s="1"/>
      <c r="F22" s="2">
        <f>LET(
 _xlpm.t,dss_report!$B22, _xlpm.lo,18, _xlpm.hi,28,
 IF(AND(_xlpm.t&gt;=_xlpm.lo, _xlpm.t&lt;=_xlpm.hi), 1,
   IF(_xlpm.t&lt;_xlpm.lo, MAX(0, 1 - (_xlpm.lo - _xlpm.t)/(_xlpm.lo*0.5)),
             MAX(0, 1 - (_xlpm.t - _xlpm.hi)/(_xlpm.hi*0.5))
   )
 )
)</f>
        <v>1</v>
      </c>
      <c r="G22" s="2">
        <f>LET(
 _xlpm.h,dss_report!$C22, _xlpm.lo,45, _xlpm.hi,70,
 IF(AND(_xlpm.h&gt;=_xlpm.lo, _xlpm.h&lt;=_xlpm.hi), 1,
   IF(_xlpm.h&lt;_xlpm.lo, MAX(0, 1 - (_xlpm.lo - _xlpm.h)/(_xlpm.lo*0.5)),
             MAX(0, 1 - (_xlpm.h - _xlpm.hi)/(_xlpm.hi*0.5))
   )
 )
)</f>
        <v>1</v>
      </c>
      <c r="H22" s="2">
        <f t="shared" si="1"/>
        <v>1</v>
      </c>
      <c r="I22" s="2" t="b">
        <f>IF(OR(dss_report!$D22=TRUE, H22&lt;0.3), TRUE, FALSE)</f>
        <v>0</v>
      </c>
      <c r="J22" s="2" t="b">
        <f>IF( OR( AND(dss_report!$B22&gt;31, dss_report!$C22&lt;38), H22&lt;0.25 ), TRUE, FALSE)</f>
        <v>0</v>
      </c>
      <c r="K22" s="2">
        <f t="shared" si="2"/>
        <v>0</v>
      </c>
      <c r="L22" s="2">
        <f t="shared" si="3"/>
        <v>0</v>
      </c>
      <c r="M22" s="2">
        <f t="shared" si="4"/>
        <v>0</v>
      </c>
      <c r="N22" s="2">
        <f t="shared" si="5"/>
        <v>1</v>
      </c>
      <c r="O22" s="2">
        <f t="shared" si="6"/>
        <v>0</v>
      </c>
      <c r="P22" s="2">
        <f t="shared" si="7"/>
        <v>0</v>
      </c>
    </row>
    <row r="23" ht="14.25" customHeight="1">
      <c r="A23" s="4">
        <v>45444.21875</v>
      </c>
      <c r="B23" s="1">
        <v>27.330260571939828</v>
      </c>
      <c r="C23" s="1">
        <v>57.707640455221764</v>
      </c>
      <c r="D23" s="1" t="b">
        <f>IF(AND(dss_report!$B23&gt;30, dss_report!$C23&lt;40), TRUE, FALSE)</f>
        <v>0</v>
      </c>
      <c r="E23" s="1"/>
      <c r="F23" s="2">
        <f>LET(
 _xlpm.t,dss_report!$B23, _xlpm.lo,18, _xlpm.hi,28,
 IF(AND(_xlpm.t&gt;=_xlpm.lo, _xlpm.t&lt;=_xlpm.hi), 1,
   IF(_xlpm.t&lt;_xlpm.lo, MAX(0, 1 - (_xlpm.lo - _xlpm.t)/(_xlpm.lo*0.5)),
             MAX(0, 1 - (_xlpm.t - _xlpm.hi)/(_xlpm.hi*0.5))
   )
 )
)</f>
        <v>1</v>
      </c>
      <c r="G23" s="2">
        <f>LET(
 _xlpm.h,dss_report!$C23, _xlpm.lo,45, _xlpm.hi,70,
 IF(AND(_xlpm.h&gt;=_xlpm.lo, _xlpm.h&lt;=_xlpm.hi), 1,
   IF(_xlpm.h&lt;_xlpm.lo, MAX(0, 1 - (_xlpm.lo - _xlpm.h)/(_xlpm.lo*0.5)),
             MAX(0, 1 - (_xlpm.h - _xlpm.hi)/(_xlpm.hi*0.5))
   )
 )
)</f>
        <v>1</v>
      </c>
      <c r="H23" s="2">
        <f t="shared" si="1"/>
        <v>1</v>
      </c>
      <c r="I23" s="2" t="b">
        <f>IF(OR(dss_report!$D23=TRUE, H23&lt;0.3), TRUE, FALSE)</f>
        <v>0</v>
      </c>
      <c r="J23" s="2" t="b">
        <f>IF( OR( AND(dss_report!$B23&gt;31, dss_report!$C23&lt;38), H23&lt;0.25 ), TRUE, FALSE)</f>
        <v>0</v>
      </c>
      <c r="K23" s="2">
        <f t="shared" si="2"/>
        <v>0</v>
      </c>
      <c r="L23" s="2">
        <f t="shared" si="3"/>
        <v>0</v>
      </c>
      <c r="M23" s="2">
        <f t="shared" si="4"/>
        <v>0</v>
      </c>
      <c r="N23" s="2">
        <f t="shared" si="5"/>
        <v>1</v>
      </c>
      <c r="O23" s="2">
        <f t="shared" si="6"/>
        <v>0</v>
      </c>
      <c r="P23" s="2">
        <f t="shared" si="7"/>
        <v>0</v>
      </c>
    </row>
    <row r="24" ht="14.25" customHeight="1">
      <c r="A24" s="4">
        <v>45444.229166666664</v>
      </c>
      <c r="B24" s="1">
        <v>27.003081438147206</v>
      </c>
      <c r="C24" s="1">
        <v>53.53059617319607</v>
      </c>
      <c r="D24" s="1" t="b">
        <f>IF(AND(dss_report!$B24&gt;30, dss_report!$C24&lt;40), TRUE, FALSE)</f>
        <v>0</v>
      </c>
      <c r="E24" s="1"/>
      <c r="F24" s="2">
        <f>LET(
 _xlpm.t,dss_report!$B24, _xlpm.lo,18, _xlpm.hi,28,
 IF(AND(_xlpm.t&gt;=_xlpm.lo, _xlpm.t&lt;=_xlpm.hi), 1,
   IF(_xlpm.t&lt;_xlpm.lo, MAX(0, 1 - (_xlpm.lo - _xlpm.t)/(_xlpm.lo*0.5)),
             MAX(0, 1 - (_xlpm.t - _xlpm.hi)/(_xlpm.hi*0.5))
   )
 )
)</f>
        <v>1</v>
      </c>
      <c r="G24" s="2">
        <f>LET(
 _xlpm.h,dss_report!$C24, _xlpm.lo,45, _xlpm.hi,70,
 IF(AND(_xlpm.h&gt;=_xlpm.lo, _xlpm.h&lt;=_xlpm.hi), 1,
   IF(_xlpm.h&lt;_xlpm.lo, MAX(0, 1 - (_xlpm.lo - _xlpm.h)/(_xlpm.lo*0.5)),
             MAX(0, 1 - (_xlpm.h - _xlpm.hi)/(_xlpm.hi*0.5))
   )
 )
)</f>
        <v>1</v>
      </c>
      <c r="H24" s="2">
        <f t="shared" si="1"/>
        <v>1</v>
      </c>
      <c r="I24" s="2" t="b">
        <f>IF(OR(dss_report!$D24=TRUE, H24&lt;0.3), TRUE, FALSE)</f>
        <v>0</v>
      </c>
      <c r="J24" s="2" t="b">
        <f>IF( OR( AND(dss_report!$B24&gt;31, dss_report!$C24&lt;38), H24&lt;0.25 ), TRUE, FALSE)</f>
        <v>0</v>
      </c>
      <c r="K24" s="2">
        <f t="shared" si="2"/>
        <v>0</v>
      </c>
      <c r="L24" s="2">
        <f t="shared" si="3"/>
        <v>0</v>
      </c>
      <c r="M24" s="2">
        <f t="shared" si="4"/>
        <v>0</v>
      </c>
      <c r="N24" s="2">
        <f t="shared" si="5"/>
        <v>1</v>
      </c>
      <c r="O24" s="2">
        <f t="shared" si="6"/>
        <v>0</v>
      </c>
      <c r="P24" s="2">
        <f t="shared" si="7"/>
        <v>0</v>
      </c>
    </row>
    <row r="25" ht="14.25" customHeight="1">
      <c r="A25" s="4">
        <v>45444.239583333336</v>
      </c>
      <c r="B25" s="1">
        <v>26.734263509490635</v>
      </c>
      <c r="C25" s="1">
        <v>55.24378305389451</v>
      </c>
      <c r="D25" s="1" t="b">
        <f>IF(AND(dss_report!$B25&gt;30, dss_report!$C25&lt;40), TRUE, FALSE)</f>
        <v>0</v>
      </c>
      <c r="E25" s="1"/>
      <c r="F25" s="2">
        <f>LET(
 _xlpm.t,dss_report!$B25, _xlpm.lo,18, _xlpm.hi,28,
 IF(AND(_xlpm.t&gt;=_xlpm.lo, _xlpm.t&lt;=_xlpm.hi), 1,
   IF(_xlpm.t&lt;_xlpm.lo, MAX(0, 1 - (_xlpm.lo - _xlpm.t)/(_xlpm.lo*0.5)),
             MAX(0, 1 - (_xlpm.t - _xlpm.hi)/(_xlpm.hi*0.5))
   )
 )
)</f>
        <v>1</v>
      </c>
      <c r="G25" s="2">
        <f>LET(
 _xlpm.h,dss_report!$C25, _xlpm.lo,45, _xlpm.hi,70,
 IF(AND(_xlpm.h&gt;=_xlpm.lo, _xlpm.h&lt;=_xlpm.hi), 1,
   IF(_xlpm.h&lt;_xlpm.lo, MAX(0, 1 - (_xlpm.lo - _xlpm.h)/(_xlpm.lo*0.5)),
             MAX(0, 1 - (_xlpm.h - _xlpm.hi)/(_xlpm.hi*0.5))
   )
 )
)</f>
        <v>1</v>
      </c>
      <c r="H25" s="2">
        <f t="shared" si="1"/>
        <v>1</v>
      </c>
      <c r="I25" s="2" t="b">
        <f>IF(OR(dss_report!$D25=TRUE, H25&lt;0.3), TRUE, FALSE)</f>
        <v>0</v>
      </c>
      <c r="J25" s="2" t="b">
        <f>IF( OR( AND(dss_report!$B25&gt;31, dss_report!$C25&lt;38), H25&lt;0.25 ), TRUE, FALSE)</f>
        <v>0</v>
      </c>
      <c r="K25" s="2">
        <f t="shared" si="2"/>
        <v>0</v>
      </c>
      <c r="L25" s="2">
        <f t="shared" si="3"/>
        <v>0</v>
      </c>
      <c r="M25" s="2">
        <f t="shared" si="4"/>
        <v>0</v>
      </c>
      <c r="N25" s="2">
        <f t="shared" si="5"/>
        <v>1</v>
      </c>
      <c r="O25" s="2">
        <f t="shared" si="6"/>
        <v>0</v>
      </c>
      <c r="P25" s="2">
        <f t="shared" si="7"/>
        <v>0</v>
      </c>
    </row>
    <row r="26" ht="14.25" customHeight="1">
      <c r="A26" s="4">
        <v>45444.25</v>
      </c>
      <c r="B26" s="1">
        <v>27.528359052649726</v>
      </c>
      <c r="C26" s="1">
        <v>54.791398956198734</v>
      </c>
      <c r="D26" s="1" t="b">
        <f>IF(AND(dss_report!$B26&gt;30, dss_report!$C26&lt;40), TRUE, FALSE)</f>
        <v>0</v>
      </c>
      <c r="E26" s="1"/>
      <c r="F26" s="2">
        <f>LET(
 _xlpm.t,dss_report!$B26, _xlpm.lo,18, _xlpm.hi,28,
 IF(AND(_xlpm.t&gt;=_xlpm.lo, _xlpm.t&lt;=_xlpm.hi), 1,
   IF(_xlpm.t&lt;_xlpm.lo, MAX(0, 1 - (_xlpm.lo - _xlpm.t)/(_xlpm.lo*0.5)),
             MAX(0, 1 - (_xlpm.t - _xlpm.hi)/(_xlpm.hi*0.5))
   )
 )
)</f>
        <v>1</v>
      </c>
      <c r="G26" s="2">
        <f>LET(
 _xlpm.h,dss_report!$C26, _xlpm.lo,45, _xlpm.hi,70,
 IF(AND(_xlpm.h&gt;=_xlpm.lo, _xlpm.h&lt;=_xlpm.hi), 1,
   IF(_xlpm.h&lt;_xlpm.lo, MAX(0, 1 - (_xlpm.lo - _xlpm.h)/(_xlpm.lo*0.5)),
             MAX(0, 1 - (_xlpm.h - _xlpm.hi)/(_xlpm.hi*0.5))
   )
 )
)</f>
        <v>1</v>
      </c>
      <c r="H26" s="2">
        <f t="shared" si="1"/>
        <v>1</v>
      </c>
      <c r="I26" s="2" t="b">
        <f>IF(OR(dss_report!$D26=TRUE, H26&lt;0.3), TRUE, FALSE)</f>
        <v>0</v>
      </c>
      <c r="J26" s="2" t="b">
        <f>IF( OR( AND(dss_report!$B26&gt;31, dss_report!$C26&lt;38), H26&lt;0.25 ), TRUE, FALSE)</f>
        <v>0</v>
      </c>
      <c r="K26" s="2">
        <f t="shared" si="2"/>
        <v>0</v>
      </c>
      <c r="L26" s="2">
        <f t="shared" si="3"/>
        <v>0</v>
      </c>
      <c r="M26" s="2">
        <f t="shared" si="4"/>
        <v>0</v>
      </c>
      <c r="N26" s="2">
        <f t="shared" si="5"/>
        <v>1</v>
      </c>
      <c r="O26" s="2">
        <f t="shared" si="6"/>
        <v>0</v>
      </c>
      <c r="P26" s="2">
        <f t="shared" si="7"/>
        <v>0</v>
      </c>
    </row>
    <row r="27" ht="14.25" customHeight="1">
      <c r="A27" s="4">
        <v>45444.260416666664</v>
      </c>
      <c r="B27" s="1">
        <v>27.912235058866305</v>
      </c>
      <c r="C27" s="1">
        <v>56.06151757061545</v>
      </c>
      <c r="D27" s="1" t="b">
        <f>IF(AND(dss_report!$B27&gt;30, dss_report!$C27&lt;40), TRUE, FALSE)</f>
        <v>0</v>
      </c>
      <c r="E27" s="1"/>
      <c r="F27" s="2">
        <f>LET(
 _xlpm.t,dss_report!$B27, _xlpm.lo,18, _xlpm.hi,28,
 IF(AND(_xlpm.t&gt;=_xlpm.lo, _xlpm.t&lt;=_xlpm.hi), 1,
   IF(_xlpm.t&lt;_xlpm.lo, MAX(0, 1 - (_xlpm.lo - _xlpm.t)/(_xlpm.lo*0.5)),
             MAX(0, 1 - (_xlpm.t - _xlpm.hi)/(_xlpm.hi*0.5))
   )
 )
)</f>
        <v>1</v>
      </c>
      <c r="G27" s="2">
        <f>LET(
 _xlpm.h,dss_report!$C27, _xlpm.lo,45, _xlpm.hi,70,
 IF(AND(_xlpm.h&gt;=_xlpm.lo, _xlpm.h&lt;=_xlpm.hi), 1,
   IF(_xlpm.h&lt;_xlpm.lo, MAX(0, 1 - (_xlpm.lo - _xlpm.h)/(_xlpm.lo*0.5)),
             MAX(0, 1 - (_xlpm.h - _xlpm.hi)/(_xlpm.hi*0.5))
   )
 )
)</f>
        <v>1</v>
      </c>
      <c r="H27" s="2">
        <f t="shared" si="1"/>
        <v>1</v>
      </c>
      <c r="I27" s="2" t="b">
        <f>IF(OR(dss_report!$D27=TRUE, H27&lt;0.3), TRUE, FALSE)</f>
        <v>0</v>
      </c>
      <c r="J27" s="2" t="b">
        <f>IF( OR( AND(dss_report!$B27&gt;31, dss_report!$C27&lt;38), H27&lt;0.25 ), TRUE, FALSE)</f>
        <v>0</v>
      </c>
      <c r="K27" s="2">
        <f t="shared" si="2"/>
        <v>0</v>
      </c>
      <c r="L27" s="2">
        <f t="shared" si="3"/>
        <v>0</v>
      </c>
      <c r="M27" s="2">
        <f t="shared" si="4"/>
        <v>0</v>
      </c>
      <c r="N27" s="2">
        <f t="shared" si="5"/>
        <v>1</v>
      </c>
      <c r="O27" s="2">
        <f t="shared" si="6"/>
        <v>0</v>
      </c>
      <c r="P27" s="2">
        <f t="shared" si="7"/>
        <v>0</v>
      </c>
    </row>
    <row r="28" ht="14.25" customHeight="1">
      <c r="A28" s="4">
        <v>45444.270833333336</v>
      </c>
      <c r="B28" s="1">
        <v>26.26578129791981</v>
      </c>
      <c r="C28" s="1">
        <v>52.094542937884356</v>
      </c>
      <c r="D28" s="1" t="b">
        <f>IF(AND(dss_report!$B28&gt;30, dss_report!$C28&lt;40), TRUE, FALSE)</f>
        <v>0</v>
      </c>
      <c r="E28" s="1"/>
      <c r="F28" s="2">
        <f>LET(
 _xlpm.t,dss_report!$B28, _xlpm.lo,18, _xlpm.hi,28,
 IF(AND(_xlpm.t&gt;=_xlpm.lo, _xlpm.t&lt;=_xlpm.hi), 1,
   IF(_xlpm.t&lt;_xlpm.lo, MAX(0, 1 - (_xlpm.lo - _xlpm.t)/(_xlpm.lo*0.5)),
             MAX(0, 1 - (_xlpm.t - _xlpm.hi)/(_xlpm.hi*0.5))
   )
 )
)</f>
        <v>1</v>
      </c>
      <c r="G28" s="2">
        <f>LET(
 _xlpm.h,dss_report!$C28, _xlpm.lo,45, _xlpm.hi,70,
 IF(AND(_xlpm.h&gt;=_xlpm.lo, _xlpm.h&lt;=_xlpm.hi), 1,
   IF(_xlpm.h&lt;_xlpm.lo, MAX(0, 1 - (_xlpm.lo - _xlpm.h)/(_xlpm.lo*0.5)),
             MAX(0, 1 - (_xlpm.h - _xlpm.hi)/(_xlpm.hi*0.5))
   )
 )
)</f>
        <v>1</v>
      </c>
      <c r="H28" s="2">
        <f t="shared" si="1"/>
        <v>1</v>
      </c>
      <c r="I28" s="2" t="b">
        <f>IF(OR(dss_report!$D28=TRUE, H28&lt;0.3), TRUE, FALSE)</f>
        <v>0</v>
      </c>
      <c r="J28" s="2" t="b">
        <f>IF( OR( AND(dss_report!$B28&gt;31, dss_report!$C28&lt;38), H28&lt;0.25 ), TRUE, FALSE)</f>
        <v>0</v>
      </c>
      <c r="K28" s="2">
        <f t="shared" si="2"/>
        <v>0</v>
      </c>
      <c r="L28" s="2">
        <f t="shared" si="3"/>
        <v>0</v>
      </c>
      <c r="M28" s="2">
        <f t="shared" si="4"/>
        <v>0</v>
      </c>
      <c r="N28" s="2">
        <f t="shared" si="5"/>
        <v>1</v>
      </c>
      <c r="O28" s="2">
        <f t="shared" si="6"/>
        <v>0</v>
      </c>
      <c r="P28" s="2">
        <f t="shared" si="7"/>
        <v>0</v>
      </c>
    </row>
    <row r="29" ht="14.25" customHeight="1">
      <c r="A29" s="4">
        <v>45444.28125</v>
      </c>
      <c r="B29" s="1">
        <v>27.315454385822566</v>
      </c>
      <c r="C29" s="1">
        <v>57.82123136595214</v>
      </c>
      <c r="D29" s="1" t="b">
        <f>IF(AND(dss_report!$B29&gt;30, dss_report!$C29&lt;40), TRUE, FALSE)</f>
        <v>0</v>
      </c>
      <c r="E29" s="1"/>
      <c r="F29" s="2">
        <f>LET(
 _xlpm.t,dss_report!$B29, _xlpm.lo,18, _xlpm.hi,28,
 IF(AND(_xlpm.t&gt;=_xlpm.lo, _xlpm.t&lt;=_xlpm.hi), 1,
   IF(_xlpm.t&lt;_xlpm.lo, MAX(0, 1 - (_xlpm.lo - _xlpm.t)/(_xlpm.lo*0.5)),
             MAX(0, 1 - (_xlpm.t - _xlpm.hi)/(_xlpm.hi*0.5))
   )
 )
)</f>
        <v>1</v>
      </c>
      <c r="G29" s="2">
        <f>LET(
 _xlpm.h,dss_report!$C29, _xlpm.lo,45, _xlpm.hi,70,
 IF(AND(_xlpm.h&gt;=_xlpm.lo, _xlpm.h&lt;=_xlpm.hi), 1,
   IF(_xlpm.h&lt;_xlpm.lo, MAX(0, 1 - (_xlpm.lo - _xlpm.h)/(_xlpm.lo*0.5)),
             MAX(0, 1 - (_xlpm.h - _xlpm.hi)/(_xlpm.hi*0.5))
   )
 )
)</f>
        <v>1</v>
      </c>
      <c r="H29" s="2">
        <f t="shared" si="1"/>
        <v>1</v>
      </c>
      <c r="I29" s="2" t="b">
        <f>IF(OR(dss_report!$D29=TRUE, H29&lt;0.3), TRUE, FALSE)</f>
        <v>0</v>
      </c>
      <c r="J29" s="2" t="b">
        <f>IF( OR( AND(dss_report!$B29&gt;31, dss_report!$C29&lt;38), H29&lt;0.25 ), TRUE, FALSE)</f>
        <v>0</v>
      </c>
      <c r="K29" s="2">
        <f t="shared" si="2"/>
        <v>0</v>
      </c>
      <c r="L29" s="2">
        <f t="shared" si="3"/>
        <v>0</v>
      </c>
      <c r="M29" s="2">
        <f t="shared" si="4"/>
        <v>0</v>
      </c>
      <c r="N29" s="2">
        <f t="shared" si="5"/>
        <v>1</v>
      </c>
      <c r="O29" s="2">
        <f t="shared" si="6"/>
        <v>0</v>
      </c>
      <c r="P29" s="2">
        <f t="shared" si="7"/>
        <v>0</v>
      </c>
    </row>
    <row r="30" ht="14.25" customHeight="1">
      <c r="A30" s="4">
        <v>45444.291666666664</v>
      </c>
      <c r="B30" s="1">
        <v>26.882493805242767</v>
      </c>
      <c r="C30" s="1">
        <v>55.686053576380864</v>
      </c>
      <c r="D30" s="1" t="b">
        <f>IF(AND(dss_report!$B30&gt;30, dss_report!$C30&lt;40), TRUE, FALSE)</f>
        <v>0</v>
      </c>
      <c r="E30" s="1"/>
      <c r="F30" s="2">
        <f>LET(
 _xlpm.t,dss_report!$B30, _xlpm.lo,18, _xlpm.hi,28,
 IF(AND(_xlpm.t&gt;=_xlpm.lo, _xlpm.t&lt;=_xlpm.hi), 1,
   IF(_xlpm.t&lt;_xlpm.lo, MAX(0, 1 - (_xlpm.lo - _xlpm.t)/(_xlpm.lo*0.5)),
             MAX(0, 1 - (_xlpm.t - _xlpm.hi)/(_xlpm.hi*0.5))
   )
 )
)</f>
        <v>1</v>
      </c>
      <c r="G30" s="2">
        <f>LET(
 _xlpm.h,dss_report!$C30, _xlpm.lo,45, _xlpm.hi,70,
 IF(AND(_xlpm.h&gt;=_xlpm.lo, _xlpm.h&lt;=_xlpm.hi), 1,
   IF(_xlpm.h&lt;_xlpm.lo, MAX(0, 1 - (_xlpm.lo - _xlpm.h)/(_xlpm.lo*0.5)),
             MAX(0, 1 - (_xlpm.h - _xlpm.hi)/(_xlpm.hi*0.5))
   )
 )
)</f>
        <v>1</v>
      </c>
      <c r="H30" s="2">
        <f t="shared" si="1"/>
        <v>1</v>
      </c>
      <c r="I30" s="2" t="b">
        <f>IF(OR(dss_report!$D30=TRUE, H30&lt;0.3), TRUE, FALSE)</f>
        <v>0</v>
      </c>
      <c r="J30" s="2" t="b">
        <f>IF( OR( AND(dss_report!$B30&gt;31, dss_report!$C30&lt;38), H30&lt;0.25 ), TRUE, FALSE)</f>
        <v>0</v>
      </c>
      <c r="K30" s="2">
        <f t="shared" si="2"/>
        <v>0</v>
      </c>
      <c r="L30" s="2">
        <f t="shared" si="3"/>
        <v>0</v>
      </c>
      <c r="M30" s="2">
        <f t="shared" si="4"/>
        <v>0</v>
      </c>
      <c r="N30" s="2">
        <f t="shared" si="5"/>
        <v>1</v>
      </c>
      <c r="O30" s="2">
        <f t="shared" si="6"/>
        <v>0</v>
      </c>
      <c r="P30" s="2">
        <f t="shared" si="7"/>
        <v>0</v>
      </c>
    </row>
    <row r="31" ht="14.25" customHeight="1">
      <c r="A31" s="4">
        <v>45444.302083333336</v>
      </c>
      <c r="B31" s="1">
        <v>27.516128996019653</v>
      </c>
      <c r="C31" s="1">
        <v>55.75848402429034</v>
      </c>
      <c r="D31" s="1" t="b">
        <f>IF(AND(dss_report!$B31&gt;30, dss_report!$C31&lt;40), TRUE, FALSE)</f>
        <v>0</v>
      </c>
      <c r="E31" s="1"/>
      <c r="F31" s="2">
        <f>LET(
 _xlpm.t,dss_report!$B31, _xlpm.lo,18, _xlpm.hi,28,
 IF(AND(_xlpm.t&gt;=_xlpm.lo, _xlpm.t&lt;=_xlpm.hi), 1,
   IF(_xlpm.t&lt;_xlpm.lo, MAX(0, 1 - (_xlpm.lo - _xlpm.t)/(_xlpm.lo*0.5)),
             MAX(0, 1 - (_xlpm.t - _xlpm.hi)/(_xlpm.hi*0.5))
   )
 )
)</f>
        <v>1</v>
      </c>
      <c r="G31" s="2">
        <f>LET(
 _xlpm.h,dss_report!$C31, _xlpm.lo,45, _xlpm.hi,70,
 IF(AND(_xlpm.h&gt;=_xlpm.lo, _xlpm.h&lt;=_xlpm.hi), 1,
   IF(_xlpm.h&lt;_xlpm.lo, MAX(0, 1 - (_xlpm.lo - _xlpm.h)/(_xlpm.lo*0.5)),
             MAX(0, 1 - (_xlpm.h - _xlpm.hi)/(_xlpm.hi*0.5))
   )
 )
)</f>
        <v>1</v>
      </c>
      <c r="H31" s="2">
        <f t="shared" si="1"/>
        <v>1</v>
      </c>
      <c r="I31" s="2" t="b">
        <f>IF(OR(dss_report!$D31=TRUE, H31&lt;0.3), TRUE, FALSE)</f>
        <v>0</v>
      </c>
      <c r="J31" s="2" t="b">
        <f>IF( OR( AND(dss_report!$B31&gt;31, dss_report!$C31&lt;38), H31&lt;0.25 ), TRUE, FALSE)</f>
        <v>0</v>
      </c>
      <c r="K31" s="2">
        <f t="shared" si="2"/>
        <v>0</v>
      </c>
      <c r="L31" s="2">
        <f t="shared" si="3"/>
        <v>0</v>
      </c>
      <c r="M31" s="2">
        <f t="shared" si="4"/>
        <v>0</v>
      </c>
      <c r="N31" s="2">
        <f t="shared" si="5"/>
        <v>1</v>
      </c>
      <c r="O31" s="2">
        <f t="shared" si="6"/>
        <v>0</v>
      </c>
      <c r="P31" s="2">
        <f t="shared" si="7"/>
        <v>0</v>
      </c>
    </row>
    <row r="32" ht="14.25" customHeight="1">
      <c r="A32" s="4">
        <v>45444.3125</v>
      </c>
      <c r="B32" s="1">
        <v>26.79742857419203</v>
      </c>
      <c r="C32" s="1">
        <v>52.318700329912055</v>
      </c>
      <c r="D32" s="1" t="b">
        <f>IF(AND(dss_report!$B32&gt;30, dss_report!$C32&lt;40), TRUE, FALSE)</f>
        <v>0</v>
      </c>
      <c r="E32" s="1"/>
      <c r="F32" s="2">
        <f>LET(
 _xlpm.t,dss_report!$B32, _xlpm.lo,18, _xlpm.hi,28,
 IF(AND(_xlpm.t&gt;=_xlpm.lo, _xlpm.t&lt;=_xlpm.hi), 1,
   IF(_xlpm.t&lt;_xlpm.lo, MAX(0, 1 - (_xlpm.lo - _xlpm.t)/(_xlpm.lo*0.5)),
             MAX(0, 1 - (_xlpm.t - _xlpm.hi)/(_xlpm.hi*0.5))
   )
 )
)</f>
        <v>1</v>
      </c>
      <c r="G32" s="2">
        <f>LET(
 _xlpm.h,dss_report!$C32, _xlpm.lo,45, _xlpm.hi,70,
 IF(AND(_xlpm.h&gt;=_xlpm.lo, _xlpm.h&lt;=_xlpm.hi), 1,
   IF(_xlpm.h&lt;_xlpm.lo, MAX(0, 1 - (_xlpm.lo - _xlpm.h)/(_xlpm.lo*0.5)),
             MAX(0, 1 - (_xlpm.h - _xlpm.hi)/(_xlpm.hi*0.5))
   )
 )
)</f>
        <v>1</v>
      </c>
      <c r="H32" s="2">
        <f t="shared" si="1"/>
        <v>1</v>
      </c>
      <c r="I32" s="2" t="b">
        <f>IF(OR(dss_report!$D32=TRUE, H32&lt;0.3), TRUE, FALSE)</f>
        <v>0</v>
      </c>
      <c r="J32" s="2" t="b">
        <f>IF( OR( AND(dss_report!$B32&gt;31, dss_report!$C32&lt;38), H32&lt;0.25 ), TRUE, FALSE)</f>
        <v>0</v>
      </c>
      <c r="K32" s="2">
        <f t="shared" si="2"/>
        <v>0</v>
      </c>
      <c r="L32" s="2">
        <f t="shared" si="3"/>
        <v>0</v>
      </c>
      <c r="M32" s="2">
        <f t="shared" si="4"/>
        <v>0</v>
      </c>
      <c r="N32" s="2">
        <f t="shared" si="5"/>
        <v>1</v>
      </c>
      <c r="O32" s="2">
        <f t="shared" si="6"/>
        <v>0</v>
      </c>
      <c r="P32" s="2">
        <f t="shared" si="7"/>
        <v>0</v>
      </c>
    </row>
    <row r="33" ht="14.25" customHeight="1">
      <c r="A33" s="4">
        <v>45444.322916666664</v>
      </c>
      <c r="B33" s="1">
        <v>27.77145522151129</v>
      </c>
      <c r="C33" s="1">
        <v>54.427662754311775</v>
      </c>
      <c r="D33" s="1" t="b">
        <f>IF(AND(dss_report!$B33&gt;30, dss_report!$C33&lt;40), TRUE, FALSE)</f>
        <v>0</v>
      </c>
      <c r="E33" s="1"/>
      <c r="F33" s="2">
        <f>LET(
 _xlpm.t,dss_report!$B33, _xlpm.lo,18, _xlpm.hi,28,
 IF(AND(_xlpm.t&gt;=_xlpm.lo, _xlpm.t&lt;=_xlpm.hi), 1,
   IF(_xlpm.t&lt;_xlpm.lo, MAX(0, 1 - (_xlpm.lo - _xlpm.t)/(_xlpm.lo*0.5)),
             MAX(0, 1 - (_xlpm.t - _xlpm.hi)/(_xlpm.hi*0.5))
   )
 )
)</f>
        <v>1</v>
      </c>
      <c r="G33" s="2">
        <f>LET(
 _xlpm.h,dss_report!$C33, _xlpm.lo,45, _xlpm.hi,70,
 IF(AND(_xlpm.h&gt;=_xlpm.lo, _xlpm.h&lt;=_xlpm.hi), 1,
   IF(_xlpm.h&lt;_xlpm.lo, MAX(0, 1 - (_xlpm.lo - _xlpm.h)/(_xlpm.lo*0.5)),
             MAX(0, 1 - (_xlpm.h - _xlpm.hi)/(_xlpm.hi*0.5))
   )
 )
)</f>
        <v>1</v>
      </c>
      <c r="H33" s="2">
        <f t="shared" si="1"/>
        <v>1</v>
      </c>
      <c r="I33" s="2" t="b">
        <f>IF(OR(dss_report!$D33=TRUE, H33&lt;0.3), TRUE, FALSE)</f>
        <v>0</v>
      </c>
      <c r="J33" s="2" t="b">
        <f>IF( OR( AND(dss_report!$B33&gt;31, dss_report!$C33&lt;38), H33&lt;0.25 ), TRUE, FALSE)</f>
        <v>0</v>
      </c>
      <c r="K33" s="2">
        <f t="shared" si="2"/>
        <v>0</v>
      </c>
      <c r="L33" s="2">
        <f t="shared" si="3"/>
        <v>0</v>
      </c>
      <c r="M33" s="2">
        <f t="shared" si="4"/>
        <v>0</v>
      </c>
      <c r="N33" s="2">
        <f t="shared" si="5"/>
        <v>1</v>
      </c>
      <c r="O33" s="2">
        <f t="shared" si="6"/>
        <v>0</v>
      </c>
      <c r="P33" s="2">
        <f t="shared" si="7"/>
        <v>0</v>
      </c>
    </row>
    <row r="34" ht="14.25" customHeight="1">
      <c r="A34" s="4">
        <v>45444.333333333336</v>
      </c>
      <c r="B34" s="1">
        <v>27.781580127171335</v>
      </c>
      <c r="C34" s="1">
        <v>56.93888258078431</v>
      </c>
      <c r="D34" s="1" t="b">
        <f>IF(AND(dss_report!$B34&gt;30, dss_report!$C34&lt;40), TRUE, FALSE)</f>
        <v>0</v>
      </c>
      <c r="E34" s="1"/>
      <c r="F34" s="2">
        <f>LET(
 _xlpm.t,dss_report!$B34, _xlpm.lo,18, _xlpm.hi,28,
 IF(AND(_xlpm.t&gt;=_xlpm.lo, _xlpm.t&lt;=_xlpm.hi), 1,
   IF(_xlpm.t&lt;_xlpm.lo, MAX(0, 1 - (_xlpm.lo - _xlpm.t)/(_xlpm.lo*0.5)),
             MAX(0, 1 - (_xlpm.t - _xlpm.hi)/(_xlpm.hi*0.5))
   )
 )
)</f>
        <v>1</v>
      </c>
      <c r="G34" s="2">
        <f>LET(
 _xlpm.h,dss_report!$C34, _xlpm.lo,45, _xlpm.hi,70,
 IF(AND(_xlpm.h&gt;=_xlpm.lo, _xlpm.h&lt;=_xlpm.hi), 1,
   IF(_xlpm.h&lt;_xlpm.lo, MAX(0, 1 - (_xlpm.lo - _xlpm.h)/(_xlpm.lo*0.5)),
             MAX(0, 1 - (_xlpm.h - _xlpm.hi)/(_xlpm.hi*0.5))
   )
 )
)</f>
        <v>1</v>
      </c>
      <c r="H34" s="2">
        <f t="shared" si="1"/>
        <v>1</v>
      </c>
      <c r="I34" s="2" t="b">
        <f>IF(OR(dss_report!$D34=TRUE, H34&lt;0.3), TRUE, FALSE)</f>
        <v>0</v>
      </c>
      <c r="J34" s="2" t="b">
        <f>IF( OR( AND(dss_report!$B34&gt;31, dss_report!$C34&lt;38), H34&lt;0.25 ), TRUE, FALSE)</f>
        <v>0</v>
      </c>
      <c r="K34" s="2">
        <f t="shared" si="2"/>
        <v>0</v>
      </c>
      <c r="L34" s="2">
        <f t="shared" si="3"/>
        <v>0</v>
      </c>
      <c r="M34" s="2">
        <f t="shared" si="4"/>
        <v>0</v>
      </c>
      <c r="N34" s="2">
        <f t="shared" si="5"/>
        <v>1</v>
      </c>
      <c r="O34" s="2">
        <f t="shared" si="6"/>
        <v>0</v>
      </c>
      <c r="P34" s="2">
        <f t="shared" si="7"/>
        <v>0</v>
      </c>
    </row>
    <row r="35" ht="14.25" customHeight="1">
      <c r="A35" s="4">
        <v>45444.34375</v>
      </c>
      <c r="B35" s="1">
        <v>27.640290640309622</v>
      </c>
      <c r="C35" s="1">
        <v>50.915034599679274</v>
      </c>
      <c r="D35" s="1" t="b">
        <f>IF(AND(dss_report!$B35&gt;30, dss_report!$C35&lt;40), TRUE, FALSE)</f>
        <v>0</v>
      </c>
      <c r="E35" s="1"/>
      <c r="F35" s="2">
        <f>LET(
 _xlpm.t,dss_report!$B35, _xlpm.lo,18, _xlpm.hi,28,
 IF(AND(_xlpm.t&gt;=_xlpm.lo, _xlpm.t&lt;=_xlpm.hi), 1,
   IF(_xlpm.t&lt;_xlpm.lo, MAX(0, 1 - (_xlpm.lo - _xlpm.t)/(_xlpm.lo*0.5)),
             MAX(0, 1 - (_xlpm.t - _xlpm.hi)/(_xlpm.hi*0.5))
   )
 )
)</f>
        <v>1</v>
      </c>
      <c r="G35" s="2">
        <f>LET(
 _xlpm.h,dss_report!$C35, _xlpm.lo,45, _xlpm.hi,70,
 IF(AND(_xlpm.h&gt;=_xlpm.lo, _xlpm.h&lt;=_xlpm.hi), 1,
   IF(_xlpm.h&lt;_xlpm.lo, MAX(0, 1 - (_xlpm.lo - _xlpm.h)/(_xlpm.lo*0.5)),
             MAX(0, 1 - (_xlpm.h - _xlpm.hi)/(_xlpm.hi*0.5))
   )
 )
)</f>
        <v>1</v>
      </c>
      <c r="H35" s="2">
        <f t="shared" si="1"/>
        <v>1</v>
      </c>
      <c r="I35" s="2" t="b">
        <f>IF(OR(dss_report!$D35=TRUE, H35&lt;0.3), TRUE, FALSE)</f>
        <v>0</v>
      </c>
      <c r="J35" s="2" t="b">
        <f>IF( OR( AND(dss_report!$B35&gt;31, dss_report!$C35&lt;38), H35&lt;0.25 ), TRUE, FALSE)</f>
        <v>0</v>
      </c>
      <c r="K35" s="2">
        <f t="shared" si="2"/>
        <v>0</v>
      </c>
      <c r="L35" s="2">
        <f t="shared" si="3"/>
        <v>0</v>
      </c>
      <c r="M35" s="2">
        <f t="shared" si="4"/>
        <v>0</v>
      </c>
      <c r="N35" s="2">
        <f t="shared" si="5"/>
        <v>1</v>
      </c>
      <c r="O35" s="2">
        <f t="shared" si="6"/>
        <v>0</v>
      </c>
      <c r="P35" s="2">
        <f t="shared" si="7"/>
        <v>0</v>
      </c>
    </row>
    <row r="36" ht="14.25" customHeight="1">
      <c r="A36" s="4">
        <v>45444.354166666664</v>
      </c>
      <c r="B36" s="1">
        <v>27.159034065753406</v>
      </c>
      <c r="C36" s="1">
        <v>54.44678441094865</v>
      </c>
      <c r="D36" s="1" t="b">
        <f>IF(AND(dss_report!$B36&gt;30, dss_report!$C36&lt;40), TRUE, FALSE)</f>
        <v>0</v>
      </c>
      <c r="E36" s="1"/>
      <c r="F36" s="2">
        <f>LET(
 _xlpm.t,dss_report!$B36, _xlpm.lo,18, _xlpm.hi,28,
 IF(AND(_xlpm.t&gt;=_xlpm.lo, _xlpm.t&lt;=_xlpm.hi), 1,
   IF(_xlpm.t&lt;_xlpm.lo, MAX(0, 1 - (_xlpm.lo - _xlpm.t)/(_xlpm.lo*0.5)),
             MAX(0, 1 - (_xlpm.t - _xlpm.hi)/(_xlpm.hi*0.5))
   )
 )
)</f>
        <v>1</v>
      </c>
      <c r="G36" s="2">
        <f>LET(
 _xlpm.h,dss_report!$C36, _xlpm.lo,45, _xlpm.hi,70,
 IF(AND(_xlpm.h&gt;=_xlpm.lo, _xlpm.h&lt;=_xlpm.hi), 1,
   IF(_xlpm.h&lt;_xlpm.lo, MAX(0, 1 - (_xlpm.lo - _xlpm.h)/(_xlpm.lo*0.5)),
             MAX(0, 1 - (_xlpm.h - _xlpm.hi)/(_xlpm.hi*0.5))
   )
 )
)</f>
        <v>1</v>
      </c>
      <c r="H36" s="2">
        <f t="shared" si="1"/>
        <v>1</v>
      </c>
      <c r="I36" s="2" t="b">
        <f>IF(OR(dss_report!$D36=TRUE, H36&lt;0.3), TRUE, FALSE)</f>
        <v>0</v>
      </c>
      <c r="J36" s="2" t="b">
        <f>IF( OR( AND(dss_report!$B36&gt;31, dss_report!$C36&lt;38), H36&lt;0.25 ), TRUE, FALSE)</f>
        <v>0</v>
      </c>
      <c r="K36" s="2">
        <f t="shared" si="2"/>
        <v>0</v>
      </c>
      <c r="L36" s="2">
        <f t="shared" si="3"/>
        <v>0</v>
      </c>
      <c r="M36" s="2">
        <f t="shared" si="4"/>
        <v>0</v>
      </c>
      <c r="N36" s="2">
        <f t="shared" si="5"/>
        <v>1</v>
      </c>
      <c r="O36" s="2">
        <f t="shared" si="6"/>
        <v>0</v>
      </c>
      <c r="P36" s="2">
        <f t="shared" si="7"/>
        <v>0</v>
      </c>
    </row>
    <row r="37" ht="14.25" customHeight="1">
      <c r="A37" s="4">
        <v>45444.364583333336</v>
      </c>
      <c r="B37" s="1">
        <v>27.648472741678507</v>
      </c>
      <c r="C37" s="1">
        <v>55.00987669511589</v>
      </c>
      <c r="D37" s="1" t="b">
        <f>IF(AND(dss_report!$B37&gt;30, dss_report!$C37&lt;40), TRUE, FALSE)</f>
        <v>0</v>
      </c>
      <c r="E37" s="1"/>
      <c r="F37" s="2">
        <f>LET(
 _xlpm.t,dss_report!$B37, _xlpm.lo,18, _xlpm.hi,28,
 IF(AND(_xlpm.t&gt;=_xlpm.lo, _xlpm.t&lt;=_xlpm.hi), 1,
   IF(_xlpm.t&lt;_xlpm.lo, MAX(0, 1 - (_xlpm.lo - _xlpm.t)/(_xlpm.lo*0.5)),
             MAX(0, 1 - (_xlpm.t - _xlpm.hi)/(_xlpm.hi*0.5))
   )
 )
)</f>
        <v>1</v>
      </c>
      <c r="G37" s="2">
        <f>LET(
 _xlpm.h,dss_report!$C37, _xlpm.lo,45, _xlpm.hi,70,
 IF(AND(_xlpm.h&gt;=_xlpm.lo, _xlpm.h&lt;=_xlpm.hi), 1,
   IF(_xlpm.h&lt;_xlpm.lo, MAX(0, 1 - (_xlpm.lo - _xlpm.h)/(_xlpm.lo*0.5)),
             MAX(0, 1 - (_xlpm.h - _xlpm.hi)/(_xlpm.hi*0.5))
   )
 )
)</f>
        <v>1</v>
      </c>
      <c r="H37" s="2">
        <f t="shared" si="1"/>
        <v>1</v>
      </c>
      <c r="I37" s="2" t="b">
        <f>IF(OR(dss_report!$D37=TRUE, H37&lt;0.3), TRUE, FALSE)</f>
        <v>0</v>
      </c>
      <c r="J37" s="2" t="b">
        <f>IF( OR( AND(dss_report!$B37&gt;31, dss_report!$C37&lt;38), H37&lt;0.25 ), TRUE, FALSE)</f>
        <v>0</v>
      </c>
      <c r="K37" s="2">
        <f t="shared" si="2"/>
        <v>0</v>
      </c>
      <c r="L37" s="2">
        <f t="shared" si="3"/>
        <v>0</v>
      </c>
      <c r="M37" s="2">
        <f t="shared" si="4"/>
        <v>0</v>
      </c>
      <c r="N37" s="2">
        <f t="shared" si="5"/>
        <v>1</v>
      </c>
      <c r="O37" s="2">
        <f t="shared" si="6"/>
        <v>0</v>
      </c>
      <c r="P37" s="2">
        <f t="shared" si="7"/>
        <v>0</v>
      </c>
    </row>
    <row r="38" ht="14.25" customHeight="1">
      <c r="A38" s="4">
        <v>45444.375</v>
      </c>
      <c r="B38" s="1">
        <v>27.18901541073602</v>
      </c>
      <c r="C38" s="1">
        <v>52.001808469381</v>
      </c>
      <c r="D38" s="1" t="b">
        <f>IF(AND(dss_report!$B38&gt;30, dss_report!$C38&lt;40), TRUE, FALSE)</f>
        <v>0</v>
      </c>
      <c r="E38" s="1"/>
      <c r="F38" s="2">
        <f>LET(
 _xlpm.t,dss_report!$B38, _xlpm.lo,18, _xlpm.hi,28,
 IF(AND(_xlpm.t&gt;=_xlpm.lo, _xlpm.t&lt;=_xlpm.hi), 1,
   IF(_xlpm.t&lt;_xlpm.lo, MAX(0, 1 - (_xlpm.lo - _xlpm.t)/(_xlpm.lo*0.5)),
             MAX(0, 1 - (_xlpm.t - _xlpm.hi)/(_xlpm.hi*0.5))
   )
 )
)</f>
        <v>1</v>
      </c>
      <c r="G38" s="2">
        <f>LET(
 _xlpm.h,dss_report!$C38, _xlpm.lo,45, _xlpm.hi,70,
 IF(AND(_xlpm.h&gt;=_xlpm.lo, _xlpm.h&lt;=_xlpm.hi), 1,
   IF(_xlpm.h&lt;_xlpm.lo, MAX(0, 1 - (_xlpm.lo - _xlpm.h)/(_xlpm.lo*0.5)),
             MAX(0, 1 - (_xlpm.h - _xlpm.hi)/(_xlpm.hi*0.5))
   )
 )
)</f>
        <v>1</v>
      </c>
      <c r="H38" s="2">
        <f t="shared" si="1"/>
        <v>1</v>
      </c>
      <c r="I38" s="2" t="b">
        <f>IF(OR(dss_report!$D38=TRUE, H38&lt;0.3), TRUE, FALSE)</f>
        <v>0</v>
      </c>
      <c r="J38" s="2" t="b">
        <f>IF( OR( AND(dss_report!$B38&gt;31, dss_report!$C38&lt;38), H38&lt;0.25 ), TRUE, FALSE)</f>
        <v>0</v>
      </c>
      <c r="K38" s="2">
        <f t="shared" si="2"/>
        <v>0</v>
      </c>
      <c r="L38" s="2">
        <f t="shared" si="3"/>
        <v>0</v>
      </c>
      <c r="M38" s="2">
        <f t="shared" si="4"/>
        <v>0</v>
      </c>
      <c r="N38" s="2">
        <f t="shared" si="5"/>
        <v>1</v>
      </c>
      <c r="O38" s="2">
        <f t="shared" si="6"/>
        <v>0</v>
      </c>
      <c r="P38" s="2">
        <f t="shared" si="7"/>
        <v>0</v>
      </c>
    </row>
    <row r="39" ht="14.25" customHeight="1">
      <c r="A39" s="4">
        <v>45444.385416666664</v>
      </c>
      <c r="B39" s="1">
        <v>27.025313446334803</v>
      </c>
      <c r="C39" s="1">
        <v>54.785262893509675</v>
      </c>
      <c r="D39" s="1" t="b">
        <f>IF(AND(dss_report!$B39&gt;30, dss_report!$C39&lt;40), TRUE, FALSE)</f>
        <v>0</v>
      </c>
      <c r="E39" s="1"/>
      <c r="F39" s="2">
        <f>LET(
 _xlpm.t,dss_report!$B39, _xlpm.lo,18, _xlpm.hi,28,
 IF(AND(_xlpm.t&gt;=_xlpm.lo, _xlpm.t&lt;=_xlpm.hi), 1,
   IF(_xlpm.t&lt;_xlpm.lo, MAX(0, 1 - (_xlpm.lo - _xlpm.t)/(_xlpm.lo*0.5)),
             MAX(0, 1 - (_xlpm.t - _xlpm.hi)/(_xlpm.hi*0.5))
   )
 )
)</f>
        <v>1</v>
      </c>
      <c r="G39" s="2">
        <f>LET(
 _xlpm.h,dss_report!$C39, _xlpm.lo,45, _xlpm.hi,70,
 IF(AND(_xlpm.h&gt;=_xlpm.lo, _xlpm.h&lt;=_xlpm.hi), 1,
   IF(_xlpm.h&lt;_xlpm.lo, MAX(0, 1 - (_xlpm.lo - _xlpm.h)/(_xlpm.lo*0.5)),
             MAX(0, 1 - (_xlpm.h - _xlpm.hi)/(_xlpm.hi*0.5))
   )
 )
)</f>
        <v>1</v>
      </c>
      <c r="H39" s="2">
        <f t="shared" si="1"/>
        <v>1</v>
      </c>
      <c r="I39" s="2" t="b">
        <f>IF(OR(dss_report!$D39=TRUE, H39&lt;0.3), TRUE, FALSE)</f>
        <v>0</v>
      </c>
      <c r="J39" s="2" t="b">
        <f>IF( OR( AND(dss_report!$B39&gt;31, dss_report!$C39&lt;38), H39&lt;0.25 ), TRUE, FALSE)</f>
        <v>0</v>
      </c>
      <c r="K39" s="2">
        <f t="shared" si="2"/>
        <v>0</v>
      </c>
      <c r="L39" s="2">
        <f t="shared" si="3"/>
        <v>0</v>
      </c>
      <c r="M39" s="2">
        <f t="shared" si="4"/>
        <v>0</v>
      </c>
      <c r="N39" s="2">
        <f t="shared" si="5"/>
        <v>1</v>
      </c>
      <c r="O39" s="2">
        <f t="shared" si="6"/>
        <v>0</v>
      </c>
      <c r="P39" s="2">
        <f t="shared" si="7"/>
        <v>0</v>
      </c>
    </row>
    <row r="40" ht="14.25" customHeight="1">
      <c r="A40" s="4">
        <v>45444.395833333336</v>
      </c>
      <c r="B40" s="1">
        <v>28.146165201446646</v>
      </c>
      <c r="C40" s="1">
        <v>52.262590133802846</v>
      </c>
      <c r="D40" s="1" t="b">
        <f>IF(AND(dss_report!$B40&gt;30, dss_report!$C40&lt;40), TRUE, FALSE)</f>
        <v>0</v>
      </c>
      <c r="E40" s="1"/>
      <c r="F40" s="2">
        <f>LET(
 _xlpm.t,dss_report!$B40, _xlpm.lo,18, _xlpm.hi,28,
 IF(AND(_xlpm.t&gt;=_xlpm.lo, _xlpm.t&lt;=_xlpm.hi), 1,
   IF(_xlpm.t&lt;_xlpm.lo, MAX(0, 1 - (_xlpm.lo - _xlpm.t)/(_xlpm.lo*0.5)),
             MAX(0, 1 - (_xlpm.t - _xlpm.hi)/(_xlpm.hi*0.5))
   )
 )
)</f>
        <v>0.9895596285</v>
      </c>
      <c r="G40" s="2">
        <f>LET(
 _xlpm.h,dss_report!$C40, _xlpm.lo,45, _xlpm.hi,70,
 IF(AND(_xlpm.h&gt;=_xlpm.lo, _xlpm.h&lt;=_xlpm.hi), 1,
   IF(_xlpm.h&lt;_xlpm.lo, MAX(0, 1 - (_xlpm.lo - _xlpm.h)/(_xlpm.lo*0.5)),
             MAX(0, 1 - (_xlpm.h - _xlpm.hi)/(_xlpm.hi*0.5))
   )
 )
)</f>
        <v>1</v>
      </c>
      <c r="H40" s="2">
        <f t="shared" si="1"/>
        <v>0.9937357771</v>
      </c>
      <c r="I40" s="2" t="b">
        <f>IF(OR(dss_report!$D40=TRUE, H40&lt;0.3), TRUE, FALSE)</f>
        <v>0</v>
      </c>
      <c r="J40" s="2" t="b">
        <f>IF( OR( AND(dss_report!$B40&gt;31, dss_report!$C40&lt;38), H40&lt;0.25 ), TRUE, FALSE)</f>
        <v>0</v>
      </c>
      <c r="K40" s="2">
        <f t="shared" si="2"/>
        <v>0</v>
      </c>
      <c r="L40" s="2">
        <f t="shared" si="3"/>
        <v>0</v>
      </c>
      <c r="M40" s="2">
        <f t="shared" si="4"/>
        <v>0</v>
      </c>
      <c r="N40" s="2">
        <f t="shared" si="5"/>
        <v>1</v>
      </c>
      <c r="O40" s="2">
        <f t="shared" si="6"/>
        <v>0</v>
      </c>
      <c r="P40" s="2">
        <f t="shared" si="7"/>
        <v>0</v>
      </c>
    </row>
    <row r="41" ht="14.25" customHeight="1">
      <c r="A41" s="4">
        <v>45444.40625</v>
      </c>
      <c r="B41" s="1">
        <v>27.220944524301984</v>
      </c>
      <c r="C41" s="1">
        <v>55.14631020412409</v>
      </c>
      <c r="D41" s="1" t="b">
        <f>IF(AND(dss_report!$B41&gt;30, dss_report!$C41&lt;40), TRUE, FALSE)</f>
        <v>0</v>
      </c>
      <c r="E41" s="1"/>
      <c r="F41" s="2">
        <f>LET(
 _xlpm.t,dss_report!$B41, _xlpm.lo,18, _xlpm.hi,28,
 IF(AND(_xlpm.t&gt;=_xlpm.lo, _xlpm.t&lt;=_xlpm.hi), 1,
   IF(_xlpm.t&lt;_xlpm.lo, MAX(0, 1 - (_xlpm.lo - _xlpm.t)/(_xlpm.lo*0.5)),
             MAX(0, 1 - (_xlpm.t - _xlpm.hi)/(_xlpm.hi*0.5))
   )
 )
)</f>
        <v>1</v>
      </c>
      <c r="G41" s="2">
        <f>LET(
 _xlpm.h,dss_report!$C41, _xlpm.lo,45, _xlpm.hi,70,
 IF(AND(_xlpm.h&gt;=_xlpm.lo, _xlpm.h&lt;=_xlpm.hi), 1,
   IF(_xlpm.h&lt;_xlpm.lo, MAX(0, 1 - (_xlpm.lo - _xlpm.h)/(_xlpm.lo*0.5)),
             MAX(0, 1 - (_xlpm.h - _xlpm.hi)/(_xlpm.hi*0.5))
   )
 )
)</f>
        <v>1</v>
      </c>
      <c r="H41" s="2">
        <f t="shared" si="1"/>
        <v>1</v>
      </c>
      <c r="I41" s="2" t="b">
        <f>IF(OR(dss_report!$D41=TRUE, H41&lt;0.3), TRUE, FALSE)</f>
        <v>0</v>
      </c>
      <c r="J41" s="2" t="b">
        <f>IF( OR( AND(dss_report!$B41&gt;31, dss_report!$C41&lt;38), H41&lt;0.25 ), TRUE, FALSE)</f>
        <v>0</v>
      </c>
      <c r="K41" s="2">
        <f t="shared" si="2"/>
        <v>0</v>
      </c>
      <c r="L41" s="2">
        <f t="shared" si="3"/>
        <v>0</v>
      </c>
      <c r="M41" s="2">
        <f t="shared" si="4"/>
        <v>0</v>
      </c>
      <c r="N41" s="2">
        <f t="shared" si="5"/>
        <v>1</v>
      </c>
      <c r="O41" s="2">
        <f t="shared" si="6"/>
        <v>0</v>
      </c>
      <c r="P41" s="2">
        <f t="shared" si="7"/>
        <v>0</v>
      </c>
    </row>
    <row r="42" ht="14.25" customHeight="1">
      <c r="A42" s="4">
        <v>45444.416666666664</v>
      </c>
      <c r="B42" s="1">
        <v>28.819176273558288</v>
      </c>
      <c r="C42" s="1">
        <v>53.50318472101845</v>
      </c>
      <c r="D42" s="1" t="b">
        <f>IF(AND(dss_report!$B42&gt;30, dss_report!$C42&lt;40), TRUE, FALSE)</f>
        <v>0</v>
      </c>
      <c r="E42" s="1"/>
      <c r="F42" s="2">
        <f>LET(
 _xlpm.t,dss_report!$B42, _xlpm.lo,18, _xlpm.hi,28,
 IF(AND(_xlpm.t&gt;=_xlpm.lo, _xlpm.t&lt;=_xlpm.hi), 1,
   IF(_xlpm.t&lt;_xlpm.lo, MAX(0, 1 - (_xlpm.lo - _xlpm.t)/(_xlpm.lo*0.5)),
             MAX(0, 1 - (_xlpm.t - _xlpm.hi)/(_xlpm.hi*0.5))
   )
 )
)</f>
        <v>0.941487409</v>
      </c>
      <c r="G42" s="2">
        <f>LET(
 _xlpm.h,dss_report!$C42, _xlpm.lo,45, _xlpm.hi,70,
 IF(AND(_xlpm.h&gt;=_xlpm.lo, _xlpm.h&lt;=_xlpm.hi), 1,
   IF(_xlpm.h&lt;_xlpm.lo, MAX(0, 1 - (_xlpm.lo - _xlpm.h)/(_xlpm.lo*0.5)),
             MAX(0, 1 - (_xlpm.h - _xlpm.hi)/(_xlpm.hi*0.5))
   )
 )
)</f>
        <v>1</v>
      </c>
      <c r="H42" s="2">
        <f t="shared" si="1"/>
        <v>0.9648924454</v>
      </c>
      <c r="I42" s="2" t="b">
        <f>IF(OR(dss_report!$D42=TRUE, H42&lt;0.3), TRUE, FALSE)</f>
        <v>0</v>
      </c>
      <c r="J42" s="2" t="b">
        <f>IF( OR( AND(dss_report!$B42&gt;31, dss_report!$C42&lt;38), H42&lt;0.25 ), TRUE, FALSE)</f>
        <v>0</v>
      </c>
      <c r="K42" s="2">
        <f t="shared" si="2"/>
        <v>0</v>
      </c>
      <c r="L42" s="2">
        <f t="shared" si="3"/>
        <v>0</v>
      </c>
      <c r="M42" s="2">
        <f t="shared" si="4"/>
        <v>0</v>
      </c>
      <c r="N42" s="2">
        <f t="shared" si="5"/>
        <v>1</v>
      </c>
      <c r="O42" s="2">
        <f t="shared" si="6"/>
        <v>0</v>
      </c>
      <c r="P42" s="2">
        <f t="shared" si="7"/>
        <v>0</v>
      </c>
    </row>
    <row r="43" ht="14.25" customHeight="1">
      <c r="A43" s="4">
        <v>45444.427083333336</v>
      </c>
      <c r="B43" s="1">
        <v>28.497861271130304</v>
      </c>
      <c r="C43" s="1">
        <v>52.65584884957978</v>
      </c>
      <c r="D43" s="1" t="b">
        <f>IF(AND(dss_report!$B43&gt;30, dss_report!$C43&lt;40), TRUE, FALSE)</f>
        <v>0</v>
      </c>
      <c r="E43" s="1"/>
      <c r="F43" s="2">
        <f>LET(
 _xlpm.t,dss_report!$B43, _xlpm.lo,18, _xlpm.hi,28,
 IF(AND(_xlpm.t&gt;=_xlpm.lo, _xlpm.t&lt;=_xlpm.hi), 1,
   IF(_xlpm.t&lt;_xlpm.lo, MAX(0, 1 - (_xlpm.lo - _xlpm.t)/(_xlpm.lo*0.5)),
             MAX(0, 1 - (_xlpm.t - _xlpm.hi)/(_xlpm.hi*0.5))
   )
 )
)</f>
        <v>0.9644384806</v>
      </c>
      <c r="G43" s="2">
        <f>LET(
 _xlpm.h,dss_report!$C43, _xlpm.lo,45, _xlpm.hi,70,
 IF(AND(_xlpm.h&gt;=_xlpm.lo, _xlpm.h&lt;=_xlpm.hi), 1,
   IF(_xlpm.h&lt;_xlpm.lo, MAX(0, 1 - (_xlpm.lo - _xlpm.h)/(_xlpm.lo*0.5)),
             MAX(0, 1 - (_xlpm.h - _xlpm.hi)/(_xlpm.hi*0.5))
   )
 )
)</f>
        <v>1</v>
      </c>
      <c r="H43" s="2">
        <f t="shared" si="1"/>
        <v>0.9786630884</v>
      </c>
      <c r="I43" s="2" t="b">
        <f>IF(OR(dss_report!$D43=TRUE, H43&lt;0.3), TRUE, FALSE)</f>
        <v>0</v>
      </c>
      <c r="J43" s="2" t="b">
        <f>IF( OR( AND(dss_report!$B43&gt;31, dss_report!$C43&lt;38), H43&lt;0.25 ), TRUE, FALSE)</f>
        <v>0</v>
      </c>
      <c r="K43" s="2">
        <f t="shared" si="2"/>
        <v>0</v>
      </c>
      <c r="L43" s="2">
        <f t="shared" si="3"/>
        <v>0</v>
      </c>
      <c r="M43" s="2">
        <f t="shared" si="4"/>
        <v>0</v>
      </c>
      <c r="N43" s="2">
        <f t="shared" si="5"/>
        <v>1</v>
      </c>
      <c r="O43" s="2">
        <f t="shared" si="6"/>
        <v>0</v>
      </c>
      <c r="P43" s="2">
        <f t="shared" si="7"/>
        <v>0</v>
      </c>
    </row>
    <row r="44" ht="14.25" customHeight="1">
      <c r="A44" s="4">
        <v>45444.4375</v>
      </c>
      <c r="B44" s="1">
        <v>26.587866287311876</v>
      </c>
      <c r="C44" s="1">
        <v>55.981715859954555</v>
      </c>
      <c r="D44" s="1" t="b">
        <f>IF(AND(dss_report!$B44&gt;30, dss_report!$C44&lt;40), TRUE, FALSE)</f>
        <v>0</v>
      </c>
      <c r="E44" s="1"/>
      <c r="F44" s="2">
        <f>LET(
 _xlpm.t,dss_report!$B44, _xlpm.lo,18, _xlpm.hi,28,
 IF(AND(_xlpm.t&gt;=_xlpm.lo, _xlpm.t&lt;=_xlpm.hi), 1,
   IF(_xlpm.t&lt;_xlpm.lo, MAX(0, 1 - (_xlpm.lo - _xlpm.t)/(_xlpm.lo*0.5)),
             MAX(0, 1 - (_xlpm.t - _xlpm.hi)/(_xlpm.hi*0.5))
   )
 )
)</f>
        <v>1</v>
      </c>
      <c r="G44" s="2">
        <f>LET(
 _xlpm.h,dss_report!$C44, _xlpm.lo,45, _xlpm.hi,70,
 IF(AND(_xlpm.h&gt;=_xlpm.lo, _xlpm.h&lt;=_xlpm.hi), 1,
   IF(_xlpm.h&lt;_xlpm.lo, MAX(0, 1 - (_xlpm.lo - _xlpm.h)/(_xlpm.lo*0.5)),
             MAX(0, 1 - (_xlpm.h - _xlpm.hi)/(_xlpm.hi*0.5))
   )
 )
)</f>
        <v>1</v>
      </c>
      <c r="H44" s="2">
        <f t="shared" si="1"/>
        <v>1</v>
      </c>
      <c r="I44" s="2" t="b">
        <f>IF(OR(dss_report!$D44=TRUE, H44&lt;0.3), TRUE, FALSE)</f>
        <v>0</v>
      </c>
      <c r="J44" s="2" t="b">
        <f>IF( OR( AND(dss_report!$B44&gt;31, dss_report!$C44&lt;38), H44&lt;0.25 ), TRUE, FALSE)</f>
        <v>0</v>
      </c>
      <c r="K44" s="2">
        <f t="shared" si="2"/>
        <v>0</v>
      </c>
      <c r="L44" s="2">
        <f t="shared" si="3"/>
        <v>0</v>
      </c>
      <c r="M44" s="2">
        <f t="shared" si="4"/>
        <v>0</v>
      </c>
      <c r="N44" s="2">
        <f t="shared" si="5"/>
        <v>1</v>
      </c>
      <c r="O44" s="2">
        <f t="shared" si="6"/>
        <v>0</v>
      </c>
      <c r="P44" s="2">
        <f t="shared" si="7"/>
        <v>0</v>
      </c>
    </row>
    <row r="45" ht="14.25" customHeight="1">
      <c r="A45" s="4">
        <v>45444.447916666664</v>
      </c>
      <c r="B45" s="1">
        <v>28.16073875153452</v>
      </c>
      <c r="C45" s="1">
        <v>53.38249579033542</v>
      </c>
      <c r="D45" s="1" t="b">
        <f>IF(AND(dss_report!$B45&gt;30, dss_report!$C45&lt;40), TRUE, FALSE)</f>
        <v>0</v>
      </c>
      <c r="E45" s="1"/>
      <c r="F45" s="2">
        <f>LET(
 _xlpm.t,dss_report!$B45, _xlpm.lo,18, _xlpm.hi,28,
 IF(AND(_xlpm.t&gt;=_xlpm.lo, _xlpm.t&lt;=_xlpm.hi), 1,
   IF(_xlpm.t&lt;_xlpm.lo, MAX(0, 1 - (_xlpm.lo - _xlpm.t)/(_xlpm.lo*0.5)),
             MAX(0, 1 - (_xlpm.t - _xlpm.hi)/(_xlpm.hi*0.5))
   )
 )
)</f>
        <v>0.9885186606</v>
      </c>
      <c r="G45" s="2">
        <f>LET(
 _xlpm.h,dss_report!$C45, _xlpm.lo,45, _xlpm.hi,70,
 IF(AND(_xlpm.h&gt;=_xlpm.lo, _xlpm.h&lt;=_xlpm.hi), 1,
   IF(_xlpm.h&lt;_xlpm.lo, MAX(0, 1 - (_xlpm.lo - _xlpm.h)/(_xlpm.lo*0.5)),
             MAX(0, 1 - (_xlpm.h - _xlpm.hi)/(_xlpm.hi*0.5))
   )
 )
)</f>
        <v>1</v>
      </c>
      <c r="H45" s="2">
        <f t="shared" si="1"/>
        <v>0.9931111964</v>
      </c>
      <c r="I45" s="2" t="b">
        <f>IF(OR(dss_report!$D45=TRUE, H45&lt;0.3), TRUE, FALSE)</f>
        <v>0</v>
      </c>
      <c r="J45" s="2" t="b">
        <f>IF( OR( AND(dss_report!$B45&gt;31, dss_report!$C45&lt;38), H45&lt;0.25 ), TRUE, FALSE)</f>
        <v>0</v>
      </c>
      <c r="K45" s="2">
        <f t="shared" si="2"/>
        <v>0</v>
      </c>
      <c r="L45" s="2">
        <f t="shared" si="3"/>
        <v>0</v>
      </c>
      <c r="M45" s="2">
        <f t="shared" si="4"/>
        <v>0</v>
      </c>
      <c r="N45" s="2">
        <f t="shared" si="5"/>
        <v>1</v>
      </c>
      <c r="O45" s="2">
        <f t="shared" si="6"/>
        <v>0</v>
      </c>
      <c r="P45" s="2">
        <f t="shared" si="7"/>
        <v>0</v>
      </c>
    </row>
    <row r="46" ht="14.25" customHeight="1">
      <c r="A46" s="4">
        <v>45444.458333333336</v>
      </c>
      <c r="B46" s="1">
        <v>27.176804918696945</v>
      </c>
      <c r="C46" s="1">
        <v>54.08908860314332</v>
      </c>
      <c r="D46" s="1" t="b">
        <f>IF(AND(dss_report!$B46&gt;30, dss_report!$C46&lt;40), TRUE, FALSE)</f>
        <v>0</v>
      </c>
      <c r="E46" s="1"/>
      <c r="F46" s="2">
        <f>LET(
 _xlpm.t,dss_report!$B46, _xlpm.lo,18, _xlpm.hi,28,
 IF(AND(_xlpm.t&gt;=_xlpm.lo, _xlpm.t&lt;=_xlpm.hi), 1,
   IF(_xlpm.t&lt;_xlpm.lo, MAX(0, 1 - (_xlpm.lo - _xlpm.t)/(_xlpm.lo*0.5)),
             MAX(0, 1 - (_xlpm.t - _xlpm.hi)/(_xlpm.hi*0.5))
   )
 )
)</f>
        <v>1</v>
      </c>
      <c r="G46" s="2">
        <f>LET(
 _xlpm.h,dss_report!$C46, _xlpm.lo,45, _xlpm.hi,70,
 IF(AND(_xlpm.h&gt;=_xlpm.lo, _xlpm.h&lt;=_xlpm.hi), 1,
   IF(_xlpm.h&lt;_xlpm.lo, MAX(0, 1 - (_xlpm.lo - _xlpm.h)/(_xlpm.lo*0.5)),
             MAX(0, 1 - (_xlpm.h - _xlpm.hi)/(_xlpm.hi*0.5))
   )
 )
)</f>
        <v>1</v>
      </c>
      <c r="H46" s="2">
        <f t="shared" si="1"/>
        <v>1</v>
      </c>
      <c r="I46" s="2" t="b">
        <f>IF(OR(dss_report!$D46=TRUE, H46&lt;0.3), TRUE, FALSE)</f>
        <v>0</v>
      </c>
      <c r="J46" s="2" t="b">
        <f>IF( OR( AND(dss_report!$B46&gt;31, dss_report!$C46&lt;38), H46&lt;0.25 ), TRUE, FALSE)</f>
        <v>0</v>
      </c>
      <c r="K46" s="2">
        <f t="shared" si="2"/>
        <v>0</v>
      </c>
      <c r="L46" s="2">
        <f t="shared" si="3"/>
        <v>0</v>
      </c>
      <c r="M46" s="2">
        <f t="shared" si="4"/>
        <v>0</v>
      </c>
      <c r="N46" s="2">
        <f t="shared" si="5"/>
        <v>1</v>
      </c>
      <c r="O46" s="2">
        <f t="shared" si="6"/>
        <v>0</v>
      </c>
      <c r="P46" s="2">
        <f t="shared" si="7"/>
        <v>0</v>
      </c>
    </row>
    <row r="47" ht="14.25" customHeight="1">
      <c r="A47" s="4">
        <v>45444.46875</v>
      </c>
      <c r="B47" s="1">
        <v>27.942786538940418</v>
      </c>
      <c r="C47" s="1">
        <v>48.84443235852488</v>
      </c>
      <c r="D47" s="1" t="b">
        <f>IF(AND(dss_report!$B47&gt;30, dss_report!$C47&lt;40), TRUE, FALSE)</f>
        <v>0</v>
      </c>
      <c r="E47" s="1"/>
      <c r="F47" s="2">
        <f>LET(
 _xlpm.t,dss_report!$B47, _xlpm.lo,18, _xlpm.hi,28,
 IF(AND(_xlpm.t&gt;=_xlpm.lo, _xlpm.t&lt;=_xlpm.hi), 1,
   IF(_xlpm.t&lt;_xlpm.lo, MAX(0, 1 - (_xlpm.lo - _xlpm.t)/(_xlpm.lo*0.5)),
             MAX(0, 1 - (_xlpm.t - _xlpm.hi)/(_xlpm.hi*0.5))
   )
 )
)</f>
        <v>1</v>
      </c>
      <c r="G47" s="2">
        <f>LET(
 _xlpm.h,dss_report!$C47, _xlpm.lo,45, _xlpm.hi,70,
 IF(AND(_xlpm.h&gt;=_xlpm.lo, _xlpm.h&lt;=_xlpm.hi), 1,
   IF(_xlpm.h&lt;_xlpm.lo, MAX(0, 1 - (_xlpm.lo - _xlpm.h)/(_xlpm.lo*0.5)),
             MAX(0, 1 - (_xlpm.h - _xlpm.hi)/(_xlpm.hi*0.5))
   )
 )
)</f>
        <v>1</v>
      </c>
      <c r="H47" s="2">
        <f t="shared" si="1"/>
        <v>1</v>
      </c>
      <c r="I47" s="2" t="b">
        <f>IF(OR(dss_report!$D47=TRUE, H47&lt;0.3), TRUE, FALSE)</f>
        <v>0</v>
      </c>
      <c r="J47" s="2" t="b">
        <f>IF( OR( AND(dss_report!$B47&gt;31, dss_report!$C47&lt;38), H47&lt;0.25 ), TRUE, FALSE)</f>
        <v>0</v>
      </c>
      <c r="K47" s="2">
        <f t="shared" si="2"/>
        <v>0</v>
      </c>
      <c r="L47" s="2">
        <f t="shared" si="3"/>
        <v>0</v>
      </c>
      <c r="M47" s="2">
        <f t="shared" si="4"/>
        <v>0</v>
      </c>
      <c r="N47" s="2">
        <f t="shared" si="5"/>
        <v>1</v>
      </c>
      <c r="O47" s="2">
        <f t="shared" si="6"/>
        <v>0</v>
      </c>
      <c r="P47" s="2">
        <f t="shared" si="7"/>
        <v>0</v>
      </c>
    </row>
    <row r="48" ht="14.25" customHeight="1">
      <c r="A48" s="4">
        <v>45444.479166666664</v>
      </c>
      <c r="B48" s="1">
        <v>27.915754666839693</v>
      </c>
      <c r="C48" s="1">
        <v>49.68069860652042</v>
      </c>
      <c r="D48" s="1" t="b">
        <f>IF(AND(dss_report!$B48&gt;30, dss_report!$C48&lt;40), TRUE, FALSE)</f>
        <v>0</v>
      </c>
      <c r="E48" s="1"/>
      <c r="F48" s="2">
        <f>LET(
 _xlpm.t,dss_report!$B48, _xlpm.lo,18, _xlpm.hi,28,
 IF(AND(_xlpm.t&gt;=_xlpm.lo, _xlpm.t&lt;=_xlpm.hi), 1,
   IF(_xlpm.t&lt;_xlpm.lo, MAX(0, 1 - (_xlpm.lo - _xlpm.t)/(_xlpm.lo*0.5)),
             MAX(0, 1 - (_xlpm.t - _xlpm.hi)/(_xlpm.hi*0.5))
   )
 )
)</f>
        <v>1</v>
      </c>
      <c r="G48" s="2">
        <f>LET(
 _xlpm.h,dss_report!$C48, _xlpm.lo,45, _xlpm.hi,70,
 IF(AND(_xlpm.h&gt;=_xlpm.lo, _xlpm.h&lt;=_xlpm.hi), 1,
   IF(_xlpm.h&lt;_xlpm.lo, MAX(0, 1 - (_xlpm.lo - _xlpm.h)/(_xlpm.lo*0.5)),
             MAX(0, 1 - (_xlpm.h - _xlpm.hi)/(_xlpm.hi*0.5))
   )
 )
)</f>
        <v>1</v>
      </c>
      <c r="H48" s="2">
        <f t="shared" si="1"/>
        <v>1</v>
      </c>
      <c r="I48" s="2" t="b">
        <f>IF(OR(dss_report!$D48=TRUE, H48&lt;0.3), TRUE, FALSE)</f>
        <v>0</v>
      </c>
      <c r="J48" s="2" t="b">
        <f>IF( OR( AND(dss_report!$B48&gt;31, dss_report!$C48&lt;38), H48&lt;0.25 ), TRUE, FALSE)</f>
        <v>0</v>
      </c>
      <c r="K48" s="2">
        <f t="shared" si="2"/>
        <v>0</v>
      </c>
      <c r="L48" s="2">
        <f t="shared" si="3"/>
        <v>0</v>
      </c>
      <c r="M48" s="2">
        <f t="shared" si="4"/>
        <v>0</v>
      </c>
      <c r="N48" s="2">
        <f t="shared" si="5"/>
        <v>1</v>
      </c>
      <c r="O48" s="2">
        <f t="shared" si="6"/>
        <v>0</v>
      </c>
      <c r="P48" s="2">
        <f t="shared" si="7"/>
        <v>0</v>
      </c>
    </row>
    <row r="49" ht="14.25" customHeight="1">
      <c r="A49" s="4">
        <v>45444.489583333336</v>
      </c>
      <c r="B49" s="1">
        <v>26.452856429376315</v>
      </c>
      <c r="C49" s="1">
        <v>52.39652582914446</v>
      </c>
      <c r="D49" s="1" t="b">
        <f>IF(AND(dss_report!$B49&gt;30, dss_report!$C49&lt;40), TRUE, FALSE)</f>
        <v>0</v>
      </c>
      <c r="E49" s="1"/>
      <c r="F49" s="2">
        <f>LET(
 _xlpm.t,dss_report!$B49, _xlpm.lo,18, _xlpm.hi,28,
 IF(AND(_xlpm.t&gt;=_xlpm.lo, _xlpm.t&lt;=_xlpm.hi), 1,
   IF(_xlpm.t&lt;_xlpm.lo, MAX(0, 1 - (_xlpm.lo - _xlpm.t)/(_xlpm.lo*0.5)),
             MAX(0, 1 - (_xlpm.t - _xlpm.hi)/(_xlpm.hi*0.5))
   )
 )
)</f>
        <v>1</v>
      </c>
      <c r="G49" s="2">
        <f>LET(
 _xlpm.h,dss_report!$C49, _xlpm.lo,45, _xlpm.hi,70,
 IF(AND(_xlpm.h&gt;=_xlpm.lo, _xlpm.h&lt;=_xlpm.hi), 1,
   IF(_xlpm.h&lt;_xlpm.lo, MAX(0, 1 - (_xlpm.lo - _xlpm.h)/(_xlpm.lo*0.5)),
             MAX(0, 1 - (_xlpm.h - _xlpm.hi)/(_xlpm.hi*0.5))
   )
 )
)</f>
        <v>1</v>
      </c>
      <c r="H49" s="2">
        <f t="shared" si="1"/>
        <v>1</v>
      </c>
      <c r="I49" s="2" t="b">
        <f>IF(OR(dss_report!$D49=TRUE, H49&lt;0.3), TRUE, FALSE)</f>
        <v>0</v>
      </c>
      <c r="J49" s="2" t="b">
        <f>IF( OR( AND(dss_report!$B49&gt;31, dss_report!$C49&lt;38), H49&lt;0.25 ), TRUE, FALSE)</f>
        <v>0</v>
      </c>
      <c r="K49" s="2">
        <f t="shared" si="2"/>
        <v>0</v>
      </c>
      <c r="L49" s="2">
        <f t="shared" si="3"/>
        <v>0</v>
      </c>
      <c r="M49" s="2">
        <f t="shared" si="4"/>
        <v>0</v>
      </c>
      <c r="N49" s="2">
        <f t="shared" si="5"/>
        <v>1</v>
      </c>
      <c r="O49" s="2">
        <f t="shared" si="6"/>
        <v>0</v>
      </c>
      <c r="P49" s="2">
        <f t="shared" si="7"/>
        <v>0</v>
      </c>
    </row>
    <row r="50" ht="14.25" customHeight="1">
      <c r="A50" s="4">
        <v>45444.5</v>
      </c>
      <c r="B50" s="1">
        <v>27.63494843717473</v>
      </c>
      <c r="C50" s="1">
        <v>52.2833691522053</v>
      </c>
      <c r="D50" s="1" t="b">
        <f>IF(AND(dss_report!$B50&gt;30, dss_report!$C50&lt;40), TRUE, FALSE)</f>
        <v>0</v>
      </c>
      <c r="E50" s="1"/>
      <c r="F50" s="2">
        <f>LET(
 _xlpm.t,dss_report!$B50, _xlpm.lo,18, _xlpm.hi,28,
 IF(AND(_xlpm.t&gt;=_xlpm.lo, _xlpm.t&lt;=_xlpm.hi), 1,
   IF(_xlpm.t&lt;_xlpm.lo, MAX(0, 1 - (_xlpm.lo - _xlpm.t)/(_xlpm.lo*0.5)),
             MAX(0, 1 - (_xlpm.t - _xlpm.hi)/(_xlpm.hi*0.5))
   )
 )
)</f>
        <v>1</v>
      </c>
      <c r="G50" s="2">
        <f>LET(
 _xlpm.h,dss_report!$C50, _xlpm.lo,45, _xlpm.hi,70,
 IF(AND(_xlpm.h&gt;=_xlpm.lo, _xlpm.h&lt;=_xlpm.hi), 1,
   IF(_xlpm.h&lt;_xlpm.lo, MAX(0, 1 - (_xlpm.lo - _xlpm.h)/(_xlpm.lo*0.5)),
             MAX(0, 1 - (_xlpm.h - _xlpm.hi)/(_xlpm.hi*0.5))
   )
 )
)</f>
        <v>1</v>
      </c>
      <c r="H50" s="2">
        <f t="shared" si="1"/>
        <v>1</v>
      </c>
      <c r="I50" s="2" t="b">
        <f>IF(OR(dss_report!$D50=TRUE, H50&lt;0.3), TRUE, FALSE)</f>
        <v>0</v>
      </c>
      <c r="J50" s="2" t="b">
        <f>IF( OR( AND(dss_report!$B50&gt;31, dss_report!$C50&lt;38), H50&lt;0.25 ), TRUE, FALSE)</f>
        <v>0</v>
      </c>
      <c r="K50" s="2">
        <f t="shared" si="2"/>
        <v>0</v>
      </c>
      <c r="L50" s="2">
        <f t="shared" si="3"/>
        <v>0</v>
      </c>
      <c r="M50" s="2">
        <f t="shared" si="4"/>
        <v>0</v>
      </c>
      <c r="N50" s="2">
        <f t="shared" si="5"/>
        <v>1</v>
      </c>
      <c r="O50" s="2">
        <f t="shared" si="6"/>
        <v>0</v>
      </c>
      <c r="P50" s="2">
        <f t="shared" si="7"/>
        <v>0</v>
      </c>
    </row>
    <row r="51" ht="14.25" customHeight="1">
      <c r="A51" s="4">
        <v>45444.510416666664</v>
      </c>
      <c r="B51" s="1">
        <v>27.566991942808645</v>
      </c>
      <c r="C51" s="1">
        <v>50.108954678965034</v>
      </c>
      <c r="D51" s="1" t="b">
        <f>IF(AND(dss_report!$B51&gt;30, dss_report!$C51&lt;40), TRUE, FALSE)</f>
        <v>0</v>
      </c>
      <c r="E51" s="1"/>
      <c r="F51" s="2">
        <f>LET(
 _xlpm.t,dss_report!$B51, _xlpm.lo,18, _xlpm.hi,28,
 IF(AND(_xlpm.t&gt;=_xlpm.lo, _xlpm.t&lt;=_xlpm.hi), 1,
   IF(_xlpm.t&lt;_xlpm.lo, MAX(0, 1 - (_xlpm.lo - _xlpm.t)/(_xlpm.lo*0.5)),
             MAX(0, 1 - (_xlpm.t - _xlpm.hi)/(_xlpm.hi*0.5))
   )
 )
)</f>
        <v>1</v>
      </c>
      <c r="G51" s="2">
        <f>LET(
 _xlpm.h,dss_report!$C51, _xlpm.lo,45, _xlpm.hi,70,
 IF(AND(_xlpm.h&gt;=_xlpm.lo, _xlpm.h&lt;=_xlpm.hi), 1,
   IF(_xlpm.h&lt;_xlpm.lo, MAX(0, 1 - (_xlpm.lo - _xlpm.h)/(_xlpm.lo*0.5)),
             MAX(0, 1 - (_xlpm.h - _xlpm.hi)/(_xlpm.hi*0.5))
   )
 )
)</f>
        <v>1</v>
      </c>
      <c r="H51" s="2">
        <f t="shared" si="1"/>
        <v>1</v>
      </c>
      <c r="I51" s="2" t="b">
        <f>IF(OR(dss_report!$D51=TRUE, H51&lt;0.3), TRUE, FALSE)</f>
        <v>0</v>
      </c>
      <c r="J51" s="2" t="b">
        <f>IF( OR( AND(dss_report!$B51&gt;31, dss_report!$C51&lt;38), H51&lt;0.25 ), TRUE, FALSE)</f>
        <v>0</v>
      </c>
      <c r="K51" s="2">
        <f t="shared" si="2"/>
        <v>0</v>
      </c>
      <c r="L51" s="2">
        <f t="shared" si="3"/>
        <v>0</v>
      </c>
      <c r="M51" s="2">
        <f t="shared" si="4"/>
        <v>0</v>
      </c>
      <c r="N51" s="2">
        <f t="shared" si="5"/>
        <v>1</v>
      </c>
      <c r="O51" s="2">
        <f t="shared" si="6"/>
        <v>0</v>
      </c>
      <c r="P51" s="2">
        <f t="shared" si="7"/>
        <v>0</v>
      </c>
    </row>
    <row r="52" ht="14.25" customHeight="1">
      <c r="A52" s="4">
        <v>45444.520833333336</v>
      </c>
      <c r="B52" s="1">
        <v>28.36134098266945</v>
      </c>
      <c r="C52" s="1">
        <v>51.52795848661154</v>
      </c>
      <c r="D52" s="1" t="b">
        <f>IF(AND(dss_report!$B52&gt;30, dss_report!$C52&lt;40), TRUE, FALSE)</f>
        <v>0</v>
      </c>
      <c r="E52" s="1"/>
      <c r="F52" s="2">
        <f>LET(
 _xlpm.t,dss_report!$B52, _xlpm.lo,18, _xlpm.hi,28,
 IF(AND(_xlpm.t&gt;=_xlpm.lo, _xlpm.t&lt;=_xlpm.hi), 1,
   IF(_xlpm.t&lt;_xlpm.lo, MAX(0, 1 - (_xlpm.lo - _xlpm.t)/(_xlpm.lo*0.5)),
             MAX(0, 1 - (_xlpm.t - _xlpm.hi)/(_xlpm.hi*0.5))
   )
 )
)</f>
        <v>0.9741899298</v>
      </c>
      <c r="G52" s="2">
        <f>LET(
 _xlpm.h,dss_report!$C52, _xlpm.lo,45, _xlpm.hi,70,
 IF(AND(_xlpm.h&gt;=_xlpm.lo, _xlpm.h&lt;=_xlpm.hi), 1,
   IF(_xlpm.h&lt;_xlpm.lo, MAX(0, 1 - (_xlpm.lo - _xlpm.h)/(_xlpm.lo*0.5)),
             MAX(0, 1 - (_xlpm.h - _xlpm.hi)/(_xlpm.hi*0.5))
   )
 )
)</f>
        <v>1</v>
      </c>
      <c r="H52" s="2">
        <f t="shared" si="1"/>
        <v>0.9845139579</v>
      </c>
      <c r="I52" s="2" t="b">
        <f>IF(OR(dss_report!$D52=TRUE, H52&lt;0.3), TRUE, FALSE)</f>
        <v>0</v>
      </c>
      <c r="J52" s="2" t="b">
        <f>IF( OR( AND(dss_report!$B52&gt;31, dss_report!$C52&lt;38), H52&lt;0.25 ), TRUE, FALSE)</f>
        <v>0</v>
      </c>
      <c r="K52" s="2">
        <f t="shared" si="2"/>
        <v>0</v>
      </c>
      <c r="L52" s="2">
        <f t="shared" si="3"/>
        <v>0</v>
      </c>
      <c r="M52" s="2">
        <f t="shared" si="4"/>
        <v>0</v>
      </c>
      <c r="N52" s="2">
        <f t="shared" si="5"/>
        <v>1</v>
      </c>
      <c r="O52" s="2">
        <f t="shared" si="6"/>
        <v>0</v>
      </c>
      <c r="P52" s="2">
        <f t="shared" si="7"/>
        <v>0</v>
      </c>
    </row>
    <row r="53" ht="14.25" customHeight="1">
      <c r="A53" s="4">
        <v>45444.53125</v>
      </c>
      <c r="B53" s="1">
        <v>26.797108417308543</v>
      </c>
      <c r="C53" s="1">
        <v>47.599899842410395</v>
      </c>
      <c r="D53" s="1" t="b">
        <f>IF(AND(dss_report!$B53&gt;30, dss_report!$C53&lt;40), TRUE, FALSE)</f>
        <v>0</v>
      </c>
      <c r="E53" s="1"/>
      <c r="F53" s="2">
        <f>LET(
 _xlpm.t,dss_report!$B53, _xlpm.lo,18, _xlpm.hi,28,
 IF(AND(_xlpm.t&gt;=_xlpm.lo, _xlpm.t&lt;=_xlpm.hi), 1,
   IF(_xlpm.t&lt;_xlpm.lo, MAX(0, 1 - (_xlpm.lo - _xlpm.t)/(_xlpm.lo*0.5)),
             MAX(0, 1 - (_xlpm.t - _xlpm.hi)/(_xlpm.hi*0.5))
   )
 )
)</f>
        <v>1</v>
      </c>
      <c r="G53" s="2">
        <f>LET(
 _xlpm.h,dss_report!$C53, _xlpm.lo,45, _xlpm.hi,70,
 IF(AND(_xlpm.h&gt;=_xlpm.lo, _xlpm.h&lt;=_xlpm.hi), 1,
   IF(_xlpm.h&lt;_xlpm.lo, MAX(0, 1 - (_xlpm.lo - _xlpm.h)/(_xlpm.lo*0.5)),
             MAX(0, 1 - (_xlpm.h - _xlpm.hi)/(_xlpm.hi*0.5))
   )
 )
)</f>
        <v>1</v>
      </c>
      <c r="H53" s="2">
        <f t="shared" si="1"/>
        <v>1</v>
      </c>
      <c r="I53" s="2" t="b">
        <f>IF(OR(dss_report!$D53=TRUE, H53&lt;0.3), TRUE, FALSE)</f>
        <v>0</v>
      </c>
      <c r="J53" s="2" t="b">
        <f>IF( OR( AND(dss_report!$B53&gt;31, dss_report!$C53&lt;38), H53&lt;0.25 ), TRUE, FALSE)</f>
        <v>0</v>
      </c>
      <c r="K53" s="2">
        <f t="shared" si="2"/>
        <v>0</v>
      </c>
      <c r="L53" s="2">
        <f t="shared" si="3"/>
        <v>0</v>
      </c>
      <c r="M53" s="2">
        <f t="shared" si="4"/>
        <v>0</v>
      </c>
      <c r="N53" s="2">
        <f t="shared" si="5"/>
        <v>1</v>
      </c>
      <c r="O53" s="2">
        <f t="shared" si="6"/>
        <v>0</v>
      </c>
      <c r="P53" s="2">
        <f t="shared" si="7"/>
        <v>0</v>
      </c>
    </row>
    <row r="54" ht="14.25" customHeight="1">
      <c r="A54" s="4">
        <v>45444.541666666664</v>
      </c>
      <c r="B54" s="1">
        <v>28.071314909519643</v>
      </c>
      <c r="C54" s="1">
        <v>49.892660780551076</v>
      </c>
      <c r="D54" s="1" t="b">
        <f>IF(AND(dss_report!$B54&gt;30, dss_report!$C54&lt;40), TRUE, FALSE)</f>
        <v>0</v>
      </c>
      <c r="E54" s="1"/>
      <c r="F54" s="2">
        <f>LET(
 _xlpm.t,dss_report!$B54, _xlpm.lo,18, _xlpm.hi,28,
 IF(AND(_xlpm.t&gt;=_xlpm.lo, _xlpm.t&lt;=_xlpm.hi), 1,
   IF(_xlpm.t&lt;_xlpm.lo, MAX(0, 1 - (_xlpm.lo - _xlpm.t)/(_xlpm.lo*0.5)),
             MAX(0, 1 - (_xlpm.t - _xlpm.hi)/(_xlpm.hi*0.5))
   )
 )
)</f>
        <v>0.9949060779</v>
      </c>
      <c r="G54" s="2">
        <f>LET(
 _xlpm.h,dss_report!$C54, _xlpm.lo,45, _xlpm.hi,70,
 IF(AND(_xlpm.h&gt;=_xlpm.lo, _xlpm.h&lt;=_xlpm.hi), 1,
   IF(_xlpm.h&lt;_xlpm.lo, MAX(0, 1 - (_xlpm.lo - _xlpm.h)/(_xlpm.lo*0.5)),
             MAX(0, 1 - (_xlpm.h - _xlpm.hi)/(_xlpm.hi*0.5))
   )
 )
)</f>
        <v>1</v>
      </c>
      <c r="H54" s="2">
        <f t="shared" si="1"/>
        <v>0.9969436467</v>
      </c>
      <c r="I54" s="2" t="b">
        <f>IF(OR(dss_report!$D54=TRUE, H54&lt;0.3), TRUE, FALSE)</f>
        <v>0</v>
      </c>
      <c r="J54" s="2" t="b">
        <f>IF( OR( AND(dss_report!$B54&gt;31, dss_report!$C54&lt;38), H54&lt;0.25 ), TRUE, FALSE)</f>
        <v>0</v>
      </c>
      <c r="K54" s="2">
        <f t="shared" si="2"/>
        <v>0</v>
      </c>
      <c r="L54" s="2">
        <f t="shared" si="3"/>
        <v>0</v>
      </c>
      <c r="M54" s="2">
        <f t="shared" si="4"/>
        <v>0</v>
      </c>
      <c r="N54" s="2">
        <f t="shared" si="5"/>
        <v>1</v>
      </c>
      <c r="O54" s="2">
        <f t="shared" si="6"/>
        <v>0</v>
      </c>
      <c r="P54" s="2">
        <f t="shared" si="7"/>
        <v>0</v>
      </c>
    </row>
    <row r="55" ht="14.25" customHeight="1">
      <c r="A55" s="4">
        <v>45444.552083333336</v>
      </c>
      <c r="B55" s="1">
        <v>26.71046047263647</v>
      </c>
      <c r="C55" s="1">
        <v>46.91933623325766</v>
      </c>
      <c r="D55" s="1" t="b">
        <f>IF(AND(dss_report!$B55&gt;30, dss_report!$C55&lt;40), TRUE, FALSE)</f>
        <v>0</v>
      </c>
      <c r="E55" s="1"/>
      <c r="F55" s="2">
        <f>LET(
 _xlpm.t,dss_report!$B55, _xlpm.lo,18, _xlpm.hi,28,
 IF(AND(_xlpm.t&gt;=_xlpm.lo, _xlpm.t&lt;=_xlpm.hi), 1,
   IF(_xlpm.t&lt;_xlpm.lo, MAX(0, 1 - (_xlpm.lo - _xlpm.t)/(_xlpm.lo*0.5)),
             MAX(0, 1 - (_xlpm.t - _xlpm.hi)/(_xlpm.hi*0.5))
   )
 )
)</f>
        <v>1</v>
      </c>
      <c r="G55" s="2">
        <f>LET(
 _xlpm.h,dss_report!$C55, _xlpm.lo,45, _xlpm.hi,70,
 IF(AND(_xlpm.h&gt;=_xlpm.lo, _xlpm.h&lt;=_xlpm.hi), 1,
   IF(_xlpm.h&lt;_xlpm.lo, MAX(0, 1 - (_xlpm.lo - _xlpm.h)/(_xlpm.lo*0.5)),
             MAX(0, 1 - (_xlpm.h - _xlpm.hi)/(_xlpm.hi*0.5))
   )
 )
)</f>
        <v>1</v>
      </c>
      <c r="H55" s="2">
        <f t="shared" si="1"/>
        <v>1</v>
      </c>
      <c r="I55" s="2" t="b">
        <f>IF(OR(dss_report!$D55=TRUE, H55&lt;0.3), TRUE, FALSE)</f>
        <v>0</v>
      </c>
      <c r="J55" s="2" t="b">
        <f>IF( OR( AND(dss_report!$B55&gt;31, dss_report!$C55&lt;38), H55&lt;0.25 ), TRUE, FALSE)</f>
        <v>0</v>
      </c>
      <c r="K55" s="2">
        <f t="shared" si="2"/>
        <v>0</v>
      </c>
      <c r="L55" s="2">
        <f t="shared" si="3"/>
        <v>0</v>
      </c>
      <c r="M55" s="2">
        <f t="shared" si="4"/>
        <v>0</v>
      </c>
      <c r="N55" s="2">
        <f t="shared" si="5"/>
        <v>1</v>
      </c>
      <c r="O55" s="2">
        <f t="shared" si="6"/>
        <v>0</v>
      </c>
      <c r="P55" s="2">
        <f t="shared" si="7"/>
        <v>0</v>
      </c>
    </row>
    <row r="56" ht="14.25" customHeight="1">
      <c r="A56" s="4">
        <v>45444.5625</v>
      </c>
      <c r="B56" s="1">
        <v>27.167501173566958</v>
      </c>
      <c r="C56" s="1">
        <v>49.644738339776595</v>
      </c>
      <c r="D56" s="1" t="b">
        <f>IF(AND(dss_report!$B56&gt;30, dss_report!$C56&lt;40), TRUE, FALSE)</f>
        <v>0</v>
      </c>
      <c r="E56" s="1"/>
      <c r="F56" s="2">
        <f>LET(
 _xlpm.t,dss_report!$B56, _xlpm.lo,18, _xlpm.hi,28,
 IF(AND(_xlpm.t&gt;=_xlpm.lo, _xlpm.t&lt;=_xlpm.hi), 1,
   IF(_xlpm.t&lt;_xlpm.lo, MAX(0, 1 - (_xlpm.lo - _xlpm.t)/(_xlpm.lo*0.5)),
             MAX(0, 1 - (_xlpm.t - _xlpm.hi)/(_xlpm.hi*0.5))
   )
 )
)</f>
        <v>1</v>
      </c>
      <c r="G56" s="2">
        <f>LET(
 _xlpm.h,dss_report!$C56, _xlpm.lo,45, _xlpm.hi,70,
 IF(AND(_xlpm.h&gt;=_xlpm.lo, _xlpm.h&lt;=_xlpm.hi), 1,
   IF(_xlpm.h&lt;_xlpm.lo, MAX(0, 1 - (_xlpm.lo - _xlpm.h)/(_xlpm.lo*0.5)),
             MAX(0, 1 - (_xlpm.h - _xlpm.hi)/(_xlpm.hi*0.5))
   )
 )
)</f>
        <v>1</v>
      </c>
      <c r="H56" s="2">
        <f t="shared" si="1"/>
        <v>1</v>
      </c>
      <c r="I56" s="2" t="b">
        <f>IF(OR(dss_report!$D56=TRUE, H56&lt;0.3), TRUE, FALSE)</f>
        <v>0</v>
      </c>
      <c r="J56" s="2" t="b">
        <f>IF( OR( AND(dss_report!$B56&gt;31, dss_report!$C56&lt;38), H56&lt;0.25 ), TRUE, FALSE)</f>
        <v>0</v>
      </c>
      <c r="K56" s="2">
        <f t="shared" si="2"/>
        <v>0</v>
      </c>
      <c r="L56" s="2">
        <f t="shared" si="3"/>
        <v>0</v>
      </c>
      <c r="M56" s="2">
        <f t="shared" si="4"/>
        <v>0</v>
      </c>
      <c r="N56" s="2">
        <f t="shared" si="5"/>
        <v>1</v>
      </c>
      <c r="O56" s="2">
        <f t="shared" si="6"/>
        <v>0</v>
      </c>
      <c r="P56" s="2">
        <f t="shared" si="7"/>
        <v>0</v>
      </c>
    </row>
    <row r="57" ht="14.25" customHeight="1">
      <c r="A57" s="4">
        <v>45444.572916666664</v>
      </c>
      <c r="B57" s="1">
        <v>26.725469033060282</v>
      </c>
      <c r="C57" s="1">
        <v>47.74197470423254</v>
      </c>
      <c r="D57" s="1" t="b">
        <f>IF(AND(dss_report!$B57&gt;30, dss_report!$C57&lt;40), TRUE, FALSE)</f>
        <v>0</v>
      </c>
      <c r="E57" s="1"/>
      <c r="F57" s="2">
        <f>LET(
 _xlpm.t,dss_report!$B57, _xlpm.lo,18, _xlpm.hi,28,
 IF(AND(_xlpm.t&gt;=_xlpm.lo, _xlpm.t&lt;=_xlpm.hi), 1,
   IF(_xlpm.t&lt;_xlpm.lo, MAX(0, 1 - (_xlpm.lo - _xlpm.t)/(_xlpm.lo*0.5)),
             MAX(0, 1 - (_xlpm.t - _xlpm.hi)/(_xlpm.hi*0.5))
   )
 )
)</f>
        <v>1</v>
      </c>
      <c r="G57" s="2">
        <f>LET(
 _xlpm.h,dss_report!$C57, _xlpm.lo,45, _xlpm.hi,70,
 IF(AND(_xlpm.h&gt;=_xlpm.lo, _xlpm.h&lt;=_xlpm.hi), 1,
   IF(_xlpm.h&lt;_xlpm.lo, MAX(0, 1 - (_xlpm.lo - _xlpm.h)/(_xlpm.lo*0.5)),
             MAX(0, 1 - (_xlpm.h - _xlpm.hi)/(_xlpm.hi*0.5))
   )
 )
)</f>
        <v>1</v>
      </c>
      <c r="H57" s="2">
        <f t="shared" si="1"/>
        <v>1</v>
      </c>
      <c r="I57" s="2" t="b">
        <f>IF(OR(dss_report!$D57=TRUE, H57&lt;0.3), TRUE, FALSE)</f>
        <v>0</v>
      </c>
      <c r="J57" s="2" t="b">
        <f>IF( OR( AND(dss_report!$B57&gt;31, dss_report!$C57&lt;38), H57&lt;0.25 ), TRUE, FALSE)</f>
        <v>0</v>
      </c>
      <c r="K57" s="2">
        <f t="shared" si="2"/>
        <v>0</v>
      </c>
      <c r="L57" s="2">
        <f t="shared" si="3"/>
        <v>0</v>
      </c>
      <c r="M57" s="2">
        <f t="shared" si="4"/>
        <v>0</v>
      </c>
      <c r="N57" s="2">
        <f t="shared" si="5"/>
        <v>1</v>
      </c>
      <c r="O57" s="2">
        <f t="shared" si="6"/>
        <v>0</v>
      </c>
      <c r="P57" s="2">
        <f t="shared" si="7"/>
        <v>0</v>
      </c>
    </row>
    <row r="58" ht="14.25" customHeight="1">
      <c r="A58" s="4">
        <v>45444.583333333336</v>
      </c>
      <c r="B58" s="1">
        <v>28.23717232488908</v>
      </c>
      <c r="C58" s="1">
        <v>47.18431991132154</v>
      </c>
      <c r="D58" s="1" t="b">
        <f>IF(AND(dss_report!$B58&gt;30, dss_report!$C58&lt;40), TRUE, FALSE)</f>
        <v>0</v>
      </c>
      <c r="E58" s="1"/>
      <c r="F58" s="2">
        <f>LET(
 _xlpm.t,dss_report!$B58, _xlpm.lo,18, _xlpm.hi,28,
 IF(AND(_xlpm.t&gt;=_xlpm.lo, _xlpm.t&lt;=_xlpm.hi), 1,
   IF(_xlpm.t&lt;_xlpm.lo, MAX(0, 1 - (_xlpm.lo - _xlpm.t)/(_xlpm.lo*0.5)),
             MAX(0, 1 - (_xlpm.t - _xlpm.hi)/(_xlpm.hi*0.5))
   )
 )
)</f>
        <v>0.9830591197</v>
      </c>
      <c r="G58" s="2">
        <f>LET(
 _xlpm.h,dss_report!$C58, _xlpm.lo,45, _xlpm.hi,70,
 IF(AND(_xlpm.h&gt;=_xlpm.lo, _xlpm.h&lt;=_xlpm.hi), 1,
   IF(_xlpm.h&lt;_xlpm.lo, MAX(0, 1 - (_xlpm.lo - _xlpm.h)/(_xlpm.lo*0.5)),
             MAX(0, 1 - (_xlpm.h - _xlpm.hi)/(_xlpm.hi*0.5))
   )
 )
)</f>
        <v>1</v>
      </c>
      <c r="H58" s="2">
        <f t="shared" si="1"/>
        <v>0.9898354718</v>
      </c>
      <c r="I58" s="2" t="b">
        <f>IF(OR(dss_report!$D58=TRUE, H58&lt;0.3), TRUE, FALSE)</f>
        <v>0</v>
      </c>
      <c r="J58" s="2" t="b">
        <f>IF( OR( AND(dss_report!$B58&gt;31, dss_report!$C58&lt;38), H58&lt;0.25 ), TRUE, FALSE)</f>
        <v>0</v>
      </c>
      <c r="K58" s="2">
        <f t="shared" si="2"/>
        <v>0</v>
      </c>
      <c r="L58" s="2">
        <f t="shared" si="3"/>
        <v>0</v>
      </c>
      <c r="M58" s="2">
        <f t="shared" si="4"/>
        <v>0</v>
      </c>
      <c r="N58" s="2">
        <f t="shared" si="5"/>
        <v>1</v>
      </c>
      <c r="O58" s="2">
        <f t="shared" si="6"/>
        <v>0</v>
      </c>
      <c r="P58" s="2">
        <f t="shared" si="7"/>
        <v>0</v>
      </c>
    </row>
    <row r="59" ht="14.25" customHeight="1">
      <c r="A59" s="4">
        <v>45444.59375</v>
      </c>
      <c r="B59" s="1">
        <v>27.525075099723928</v>
      </c>
      <c r="C59" s="1">
        <v>48.33243058871476</v>
      </c>
      <c r="D59" s="1" t="b">
        <f>IF(AND(dss_report!$B59&gt;30, dss_report!$C59&lt;40), TRUE, FALSE)</f>
        <v>0</v>
      </c>
      <c r="E59" s="1"/>
      <c r="F59" s="2">
        <f>LET(
 _xlpm.t,dss_report!$B59, _xlpm.lo,18, _xlpm.hi,28,
 IF(AND(_xlpm.t&gt;=_xlpm.lo, _xlpm.t&lt;=_xlpm.hi), 1,
   IF(_xlpm.t&lt;_xlpm.lo, MAX(0, 1 - (_xlpm.lo - _xlpm.t)/(_xlpm.lo*0.5)),
             MAX(0, 1 - (_xlpm.t - _xlpm.hi)/(_xlpm.hi*0.5))
   )
 )
)</f>
        <v>1</v>
      </c>
      <c r="G59" s="2">
        <f>LET(
 _xlpm.h,dss_report!$C59, _xlpm.lo,45, _xlpm.hi,70,
 IF(AND(_xlpm.h&gt;=_xlpm.lo, _xlpm.h&lt;=_xlpm.hi), 1,
   IF(_xlpm.h&lt;_xlpm.lo, MAX(0, 1 - (_xlpm.lo - _xlpm.h)/(_xlpm.lo*0.5)),
             MAX(0, 1 - (_xlpm.h - _xlpm.hi)/(_xlpm.hi*0.5))
   )
 )
)</f>
        <v>1</v>
      </c>
      <c r="H59" s="2">
        <f t="shared" si="1"/>
        <v>1</v>
      </c>
      <c r="I59" s="2" t="b">
        <f>IF(OR(dss_report!$D59=TRUE, H59&lt;0.3), TRUE, FALSE)</f>
        <v>0</v>
      </c>
      <c r="J59" s="2" t="b">
        <f>IF( OR( AND(dss_report!$B59&gt;31, dss_report!$C59&lt;38), H59&lt;0.25 ), TRUE, FALSE)</f>
        <v>0</v>
      </c>
      <c r="K59" s="2">
        <f t="shared" si="2"/>
        <v>0</v>
      </c>
      <c r="L59" s="2">
        <f t="shared" si="3"/>
        <v>0</v>
      </c>
      <c r="M59" s="2">
        <f t="shared" si="4"/>
        <v>0</v>
      </c>
      <c r="N59" s="2">
        <f t="shared" si="5"/>
        <v>1</v>
      </c>
      <c r="O59" s="2">
        <f t="shared" si="6"/>
        <v>0</v>
      </c>
      <c r="P59" s="2">
        <f t="shared" si="7"/>
        <v>0</v>
      </c>
    </row>
    <row r="60" ht="14.25" customHeight="1">
      <c r="A60" s="4">
        <v>45444.604166666664</v>
      </c>
      <c r="B60" s="1">
        <v>28.728957881040582</v>
      </c>
      <c r="C60" s="1">
        <v>51.61003586622383</v>
      </c>
      <c r="D60" s="1" t="b">
        <f>IF(AND(dss_report!$B60&gt;30, dss_report!$C60&lt;40), TRUE, FALSE)</f>
        <v>0</v>
      </c>
      <c r="E60" s="1"/>
      <c r="F60" s="2">
        <f>LET(
 _xlpm.t,dss_report!$B60, _xlpm.lo,18, _xlpm.hi,28,
 IF(AND(_xlpm.t&gt;=_xlpm.lo, _xlpm.t&lt;=_xlpm.hi), 1,
   IF(_xlpm.t&lt;_xlpm.lo, MAX(0, 1 - (_xlpm.lo - _xlpm.t)/(_xlpm.lo*0.5)),
             MAX(0, 1 - (_xlpm.t - _xlpm.hi)/(_xlpm.hi*0.5))
   )
 )
)</f>
        <v>0.9479315799</v>
      </c>
      <c r="G60" s="2">
        <f>LET(
 _xlpm.h,dss_report!$C60, _xlpm.lo,45, _xlpm.hi,70,
 IF(AND(_xlpm.h&gt;=_xlpm.lo, _xlpm.h&lt;=_xlpm.hi), 1,
   IF(_xlpm.h&lt;_xlpm.lo, MAX(0, 1 - (_xlpm.lo - _xlpm.h)/(_xlpm.lo*0.5)),
             MAX(0, 1 - (_xlpm.h - _xlpm.hi)/(_xlpm.hi*0.5))
   )
 )
)</f>
        <v>1</v>
      </c>
      <c r="H60" s="2">
        <f t="shared" si="1"/>
        <v>0.968758948</v>
      </c>
      <c r="I60" s="2" t="b">
        <f>IF(OR(dss_report!$D60=TRUE, H60&lt;0.3), TRUE, FALSE)</f>
        <v>0</v>
      </c>
      <c r="J60" s="2" t="b">
        <f>IF( OR( AND(dss_report!$B60&gt;31, dss_report!$C60&lt;38), H60&lt;0.25 ), TRUE, FALSE)</f>
        <v>0</v>
      </c>
      <c r="K60" s="2">
        <f t="shared" si="2"/>
        <v>0</v>
      </c>
      <c r="L60" s="2">
        <f t="shared" si="3"/>
        <v>0</v>
      </c>
      <c r="M60" s="2">
        <f t="shared" si="4"/>
        <v>0</v>
      </c>
      <c r="N60" s="2">
        <f t="shared" si="5"/>
        <v>1</v>
      </c>
      <c r="O60" s="2">
        <f t="shared" si="6"/>
        <v>0</v>
      </c>
      <c r="P60" s="2">
        <f t="shared" si="7"/>
        <v>0</v>
      </c>
    </row>
    <row r="61" ht="14.25" customHeight="1">
      <c r="A61" s="4">
        <v>45444.614583333336</v>
      </c>
      <c r="B61" s="1">
        <v>27.37081535209522</v>
      </c>
      <c r="C61" s="1">
        <v>45.7088838250535</v>
      </c>
      <c r="D61" s="1" t="b">
        <f>IF(AND(dss_report!$B61&gt;30, dss_report!$C61&lt;40), TRUE, FALSE)</f>
        <v>0</v>
      </c>
      <c r="E61" s="1"/>
      <c r="F61" s="2">
        <f>LET(
 _xlpm.t,dss_report!$B61, _xlpm.lo,18, _xlpm.hi,28,
 IF(AND(_xlpm.t&gt;=_xlpm.lo, _xlpm.t&lt;=_xlpm.hi), 1,
   IF(_xlpm.t&lt;_xlpm.lo, MAX(0, 1 - (_xlpm.lo - _xlpm.t)/(_xlpm.lo*0.5)),
             MAX(0, 1 - (_xlpm.t - _xlpm.hi)/(_xlpm.hi*0.5))
   )
 )
)</f>
        <v>1</v>
      </c>
      <c r="G61" s="2">
        <f>LET(
 _xlpm.h,dss_report!$C61, _xlpm.lo,45, _xlpm.hi,70,
 IF(AND(_xlpm.h&gt;=_xlpm.lo, _xlpm.h&lt;=_xlpm.hi), 1,
   IF(_xlpm.h&lt;_xlpm.lo, MAX(0, 1 - (_xlpm.lo - _xlpm.h)/(_xlpm.lo*0.5)),
             MAX(0, 1 - (_xlpm.h - _xlpm.hi)/(_xlpm.hi*0.5))
   )
 )
)</f>
        <v>1</v>
      </c>
      <c r="H61" s="2">
        <f t="shared" si="1"/>
        <v>1</v>
      </c>
      <c r="I61" s="2" t="b">
        <f>IF(OR(dss_report!$D61=TRUE, H61&lt;0.3), TRUE, FALSE)</f>
        <v>0</v>
      </c>
      <c r="J61" s="2" t="b">
        <f>IF( OR( AND(dss_report!$B61&gt;31, dss_report!$C61&lt;38), H61&lt;0.25 ), TRUE, FALSE)</f>
        <v>0</v>
      </c>
      <c r="K61" s="2">
        <f t="shared" si="2"/>
        <v>0</v>
      </c>
      <c r="L61" s="2">
        <f t="shared" si="3"/>
        <v>0</v>
      </c>
      <c r="M61" s="2">
        <f t="shared" si="4"/>
        <v>0</v>
      </c>
      <c r="N61" s="2">
        <f t="shared" si="5"/>
        <v>1</v>
      </c>
      <c r="O61" s="2">
        <f t="shared" si="6"/>
        <v>0</v>
      </c>
      <c r="P61" s="2">
        <f t="shared" si="7"/>
        <v>0</v>
      </c>
    </row>
    <row r="62" ht="14.25" customHeight="1">
      <c r="A62" s="4">
        <v>45444.625</v>
      </c>
      <c r="B62" s="1">
        <v>27.40317025171857</v>
      </c>
      <c r="C62" s="1">
        <v>46.288446687414</v>
      </c>
      <c r="D62" s="1" t="b">
        <f>IF(AND(dss_report!$B62&gt;30, dss_report!$C62&lt;40), TRUE, FALSE)</f>
        <v>0</v>
      </c>
      <c r="E62" s="1"/>
      <c r="F62" s="2">
        <f>LET(
 _xlpm.t,dss_report!$B62, _xlpm.lo,18, _xlpm.hi,28,
 IF(AND(_xlpm.t&gt;=_xlpm.lo, _xlpm.t&lt;=_xlpm.hi), 1,
   IF(_xlpm.t&lt;_xlpm.lo, MAX(0, 1 - (_xlpm.lo - _xlpm.t)/(_xlpm.lo*0.5)),
             MAX(0, 1 - (_xlpm.t - _xlpm.hi)/(_xlpm.hi*0.5))
   )
 )
)</f>
        <v>1</v>
      </c>
      <c r="G62" s="2">
        <f>LET(
 _xlpm.h,dss_report!$C62, _xlpm.lo,45, _xlpm.hi,70,
 IF(AND(_xlpm.h&gt;=_xlpm.lo, _xlpm.h&lt;=_xlpm.hi), 1,
   IF(_xlpm.h&lt;_xlpm.lo, MAX(0, 1 - (_xlpm.lo - _xlpm.h)/(_xlpm.lo*0.5)),
             MAX(0, 1 - (_xlpm.h - _xlpm.hi)/(_xlpm.hi*0.5))
   )
 )
)</f>
        <v>1</v>
      </c>
      <c r="H62" s="2">
        <f t="shared" si="1"/>
        <v>1</v>
      </c>
      <c r="I62" s="2" t="b">
        <f>IF(OR(dss_report!$D62=TRUE, H62&lt;0.3), TRUE, FALSE)</f>
        <v>0</v>
      </c>
      <c r="J62" s="2" t="b">
        <f>IF( OR( AND(dss_report!$B62&gt;31, dss_report!$C62&lt;38), H62&lt;0.25 ), TRUE, FALSE)</f>
        <v>0</v>
      </c>
      <c r="K62" s="2">
        <f t="shared" si="2"/>
        <v>0</v>
      </c>
      <c r="L62" s="2">
        <f t="shared" si="3"/>
        <v>0</v>
      </c>
      <c r="M62" s="2">
        <f t="shared" si="4"/>
        <v>0</v>
      </c>
      <c r="N62" s="2">
        <f t="shared" si="5"/>
        <v>1</v>
      </c>
      <c r="O62" s="2">
        <f t="shared" si="6"/>
        <v>0</v>
      </c>
      <c r="P62" s="2">
        <f t="shared" si="7"/>
        <v>0</v>
      </c>
    </row>
    <row r="63" ht="14.25" customHeight="1">
      <c r="A63" s="4">
        <v>45444.635416666664</v>
      </c>
      <c r="B63" s="1">
        <v>27.285997647553224</v>
      </c>
      <c r="C63" s="1">
        <v>49.38930440276448</v>
      </c>
      <c r="D63" s="1" t="b">
        <f>IF(AND(dss_report!$B63&gt;30, dss_report!$C63&lt;40), TRUE, FALSE)</f>
        <v>0</v>
      </c>
      <c r="E63" s="1"/>
      <c r="F63" s="2">
        <f>LET(
 _xlpm.t,dss_report!$B63, _xlpm.lo,18, _xlpm.hi,28,
 IF(AND(_xlpm.t&gt;=_xlpm.lo, _xlpm.t&lt;=_xlpm.hi), 1,
   IF(_xlpm.t&lt;_xlpm.lo, MAX(0, 1 - (_xlpm.lo - _xlpm.t)/(_xlpm.lo*0.5)),
             MAX(0, 1 - (_xlpm.t - _xlpm.hi)/(_xlpm.hi*0.5))
   )
 )
)</f>
        <v>1</v>
      </c>
      <c r="G63" s="2">
        <f>LET(
 _xlpm.h,dss_report!$C63, _xlpm.lo,45, _xlpm.hi,70,
 IF(AND(_xlpm.h&gt;=_xlpm.lo, _xlpm.h&lt;=_xlpm.hi), 1,
   IF(_xlpm.h&lt;_xlpm.lo, MAX(0, 1 - (_xlpm.lo - _xlpm.h)/(_xlpm.lo*0.5)),
             MAX(0, 1 - (_xlpm.h - _xlpm.hi)/(_xlpm.hi*0.5))
   )
 )
)</f>
        <v>1</v>
      </c>
      <c r="H63" s="2">
        <f t="shared" si="1"/>
        <v>1</v>
      </c>
      <c r="I63" s="2" t="b">
        <f>IF(OR(dss_report!$D63=TRUE, H63&lt;0.3), TRUE, FALSE)</f>
        <v>0</v>
      </c>
      <c r="J63" s="2" t="b">
        <f>IF( OR( AND(dss_report!$B63&gt;31, dss_report!$C63&lt;38), H63&lt;0.25 ), TRUE, FALSE)</f>
        <v>0</v>
      </c>
      <c r="K63" s="2">
        <f t="shared" si="2"/>
        <v>0</v>
      </c>
      <c r="L63" s="2">
        <f t="shared" si="3"/>
        <v>0</v>
      </c>
      <c r="M63" s="2">
        <f t="shared" si="4"/>
        <v>0</v>
      </c>
      <c r="N63" s="2">
        <f t="shared" si="5"/>
        <v>1</v>
      </c>
      <c r="O63" s="2">
        <f t="shared" si="6"/>
        <v>0</v>
      </c>
      <c r="P63" s="2">
        <f t="shared" si="7"/>
        <v>0</v>
      </c>
    </row>
    <row r="64" ht="14.25" customHeight="1">
      <c r="A64" s="4">
        <v>45444.645833333336</v>
      </c>
      <c r="B64" s="1">
        <v>26.154555602875657</v>
      </c>
      <c r="C64" s="1">
        <v>46.17159455676775</v>
      </c>
      <c r="D64" s="1" t="b">
        <f>IF(AND(dss_report!$B64&gt;30, dss_report!$C64&lt;40), TRUE, FALSE)</f>
        <v>0</v>
      </c>
      <c r="E64" s="1"/>
      <c r="F64" s="2">
        <f>LET(
 _xlpm.t,dss_report!$B64, _xlpm.lo,18, _xlpm.hi,28,
 IF(AND(_xlpm.t&gt;=_xlpm.lo, _xlpm.t&lt;=_xlpm.hi), 1,
   IF(_xlpm.t&lt;_xlpm.lo, MAX(0, 1 - (_xlpm.lo - _xlpm.t)/(_xlpm.lo*0.5)),
             MAX(0, 1 - (_xlpm.t - _xlpm.hi)/(_xlpm.hi*0.5))
   )
 )
)</f>
        <v>1</v>
      </c>
      <c r="G64" s="2">
        <f>LET(
 _xlpm.h,dss_report!$C64, _xlpm.lo,45, _xlpm.hi,70,
 IF(AND(_xlpm.h&gt;=_xlpm.lo, _xlpm.h&lt;=_xlpm.hi), 1,
   IF(_xlpm.h&lt;_xlpm.lo, MAX(0, 1 - (_xlpm.lo - _xlpm.h)/(_xlpm.lo*0.5)),
             MAX(0, 1 - (_xlpm.h - _xlpm.hi)/(_xlpm.hi*0.5))
   )
 )
)</f>
        <v>1</v>
      </c>
      <c r="H64" s="2">
        <f t="shared" si="1"/>
        <v>1</v>
      </c>
      <c r="I64" s="2" t="b">
        <f>IF(OR(dss_report!$D64=TRUE, H64&lt;0.3), TRUE, FALSE)</f>
        <v>0</v>
      </c>
      <c r="J64" s="2" t="b">
        <f>IF( OR( AND(dss_report!$B64&gt;31, dss_report!$C64&lt;38), H64&lt;0.25 ), TRUE, FALSE)</f>
        <v>0</v>
      </c>
      <c r="K64" s="2">
        <f t="shared" si="2"/>
        <v>0</v>
      </c>
      <c r="L64" s="2">
        <f t="shared" si="3"/>
        <v>0</v>
      </c>
      <c r="M64" s="2">
        <f t="shared" si="4"/>
        <v>0</v>
      </c>
      <c r="N64" s="2">
        <f t="shared" si="5"/>
        <v>1</v>
      </c>
      <c r="O64" s="2">
        <f t="shared" si="6"/>
        <v>0</v>
      </c>
      <c r="P64" s="2">
        <f t="shared" si="7"/>
        <v>0</v>
      </c>
    </row>
    <row r="65" ht="14.25" customHeight="1">
      <c r="A65" s="4">
        <v>45444.65625</v>
      </c>
      <c r="B65" s="1">
        <v>26.407830938111804</v>
      </c>
      <c r="C65" s="1">
        <v>50.324965157195514</v>
      </c>
      <c r="D65" s="1" t="b">
        <f>IF(AND(dss_report!$B65&gt;30, dss_report!$C65&lt;40), TRUE, FALSE)</f>
        <v>0</v>
      </c>
      <c r="E65" s="1"/>
      <c r="F65" s="2">
        <f>LET(
 _xlpm.t,dss_report!$B65, _xlpm.lo,18, _xlpm.hi,28,
 IF(AND(_xlpm.t&gt;=_xlpm.lo, _xlpm.t&lt;=_xlpm.hi), 1,
   IF(_xlpm.t&lt;_xlpm.lo, MAX(0, 1 - (_xlpm.lo - _xlpm.t)/(_xlpm.lo*0.5)),
             MAX(0, 1 - (_xlpm.t - _xlpm.hi)/(_xlpm.hi*0.5))
   )
 )
)</f>
        <v>1</v>
      </c>
      <c r="G65" s="2">
        <f>LET(
 _xlpm.h,dss_report!$C65, _xlpm.lo,45, _xlpm.hi,70,
 IF(AND(_xlpm.h&gt;=_xlpm.lo, _xlpm.h&lt;=_xlpm.hi), 1,
   IF(_xlpm.h&lt;_xlpm.lo, MAX(0, 1 - (_xlpm.lo - _xlpm.h)/(_xlpm.lo*0.5)),
             MAX(0, 1 - (_xlpm.h - _xlpm.hi)/(_xlpm.hi*0.5))
   )
 )
)</f>
        <v>1</v>
      </c>
      <c r="H65" s="2">
        <f t="shared" si="1"/>
        <v>1</v>
      </c>
      <c r="I65" s="2" t="b">
        <f>IF(OR(dss_report!$D65=TRUE, H65&lt;0.3), TRUE, FALSE)</f>
        <v>0</v>
      </c>
      <c r="J65" s="2" t="b">
        <f>IF( OR( AND(dss_report!$B65&gt;31, dss_report!$C65&lt;38), H65&lt;0.25 ), TRUE, FALSE)</f>
        <v>0</v>
      </c>
      <c r="K65" s="2">
        <f t="shared" si="2"/>
        <v>0</v>
      </c>
      <c r="L65" s="2">
        <f t="shared" si="3"/>
        <v>0</v>
      </c>
      <c r="M65" s="2">
        <f t="shared" si="4"/>
        <v>0</v>
      </c>
      <c r="N65" s="2">
        <f t="shared" si="5"/>
        <v>1</v>
      </c>
      <c r="O65" s="2">
        <f t="shared" si="6"/>
        <v>0</v>
      </c>
      <c r="P65" s="2">
        <f t="shared" si="7"/>
        <v>0</v>
      </c>
    </row>
    <row r="66" ht="14.25" customHeight="1">
      <c r="A66" s="4">
        <v>45444.666666666664</v>
      </c>
      <c r="B66" s="1">
        <v>27.275982934748576</v>
      </c>
      <c r="C66" s="1">
        <v>47.00239203091736</v>
      </c>
      <c r="D66" s="1" t="b">
        <f>IF(AND(dss_report!$B66&gt;30, dss_report!$C66&lt;40), TRUE, FALSE)</f>
        <v>0</v>
      </c>
      <c r="E66" s="1"/>
      <c r="F66" s="2">
        <f>LET(
 _xlpm.t,dss_report!$B66, _xlpm.lo,18, _xlpm.hi,28,
 IF(AND(_xlpm.t&gt;=_xlpm.lo, _xlpm.t&lt;=_xlpm.hi), 1,
   IF(_xlpm.t&lt;_xlpm.lo, MAX(0, 1 - (_xlpm.lo - _xlpm.t)/(_xlpm.lo*0.5)),
             MAX(0, 1 - (_xlpm.t - _xlpm.hi)/(_xlpm.hi*0.5))
   )
 )
)</f>
        <v>1</v>
      </c>
      <c r="G66" s="2">
        <f>LET(
 _xlpm.h,dss_report!$C66, _xlpm.lo,45, _xlpm.hi,70,
 IF(AND(_xlpm.h&gt;=_xlpm.lo, _xlpm.h&lt;=_xlpm.hi), 1,
   IF(_xlpm.h&lt;_xlpm.lo, MAX(0, 1 - (_xlpm.lo - _xlpm.h)/(_xlpm.lo*0.5)),
             MAX(0, 1 - (_xlpm.h - _xlpm.hi)/(_xlpm.hi*0.5))
   )
 )
)</f>
        <v>1</v>
      </c>
      <c r="H66" s="2">
        <f t="shared" si="1"/>
        <v>1</v>
      </c>
      <c r="I66" s="2" t="b">
        <f>IF(OR(dss_report!$D66=TRUE, H66&lt;0.3), TRUE, FALSE)</f>
        <v>0</v>
      </c>
      <c r="J66" s="2" t="b">
        <f>IF( OR( AND(dss_report!$B66&gt;31, dss_report!$C66&lt;38), H66&lt;0.25 ), TRUE, FALSE)</f>
        <v>0</v>
      </c>
      <c r="K66" s="2">
        <f t="shared" si="2"/>
        <v>0</v>
      </c>
      <c r="L66" s="2">
        <f t="shared" si="3"/>
        <v>0</v>
      </c>
      <c r="M66" s="2">
        <f t="shared" si="4"/>
        <v>0</v>
      </c>
      <c r="N66" s="2">
        <f t="shared" si="5"/>
        <v>1</v>
      </c>
      <c r="O66" s="2">
        <f t="shared" si="6"/>
        <v>0</v>
      </c>
      <c r="P66" s="2">
        <f t="shared" si="7"/>
        <v>0</v>
      </c>
    </row>
    <row r="67" ht="14.25" customHeight="1">
      <c r="A67" s="4">
        <v>45444.677083333336</v>
      </c>
      <c r="B67" s="1">
        <v>25.92337324705239</v>
      </c>
      <c r="C67" s="1">
        <v>46.512907019029576</v>
      </c>
      <c r="D67" s="1" t="b">
        <f>IF(AND(dss_report!$B67&gt;30, dss_report!$C67&lt;40), TRUE, FALSE)</f>
        <v>0</v>
      </c>
      <c r="E67" s="1"/>
      <c r="F67" s="2">
        <f>LET(
 _xlpm.t,dss_report!$B67, _xlpm.lo,18, _xlpm.hi,28,
 IF(AND(_xlpm.t&gt;=_xlpm.lo, _xlpm.t&lt;=_xlpm.hi), 1,
   IF(_xlpm.t&lt;_xlpm.lo, MAX(0, 1 - (_xlpm.lo - _xlpm.t)/(_xlpm.lo*0.5)),
             MAX(0, 1 - (_xlpm.t - _xlpm.hi)/(_xlpm.hi*0.5))
   )
 )
)</f>
        <v>1</v>
      </c>
      <c r="G67" s="2">
        <f>LET(
 _xlpm.h,dss_report!$C67, _xlpm.lo,45, _xlpm.hi,70,
 IF(AND(_xlpm.h&gt;=_xlpm.lo, _xlpm.h&lt;=_xlpm.hi), 1,
   IF(_xlpm.h&lt;_xlpm.lo, MAX(0, 1 - (_xlpm.lo - _xlpm.h)/(_xlpm.lo*0.5)),
             MAX(0, 1 - (_xlpm.h - _xlpm.hi)/(_xlpm.hi*0.5))
   )
 )
)</f>
        <v>1</v>
      </c>
      <c r="H67" s="2">
        <f t="shared" si="1"/>
        <v>1</v>
      </c>
      <c r="I67" s="2" t="b">
        <f>IF(OR(dss_report!$D67=TRUE, H67&lt;0.3), TRUE, FALSE)</f>
        <v>0</v>
      </c>
      <c r="J67" s="2" t="b">
        <f>IF( OR( AND(dss_report!$B67&gt;31, dss_report!$C67&lt;38), H67&lt;0.25 ), TRUE, FALSE)</f>
        <v>0</v>
      </c>
      <c r="K67" s="2">
        <f t="shared" si="2"/>
        <v>0</v>
      </c>
      <c r="L67" s="2">
        <f t="shared" si="3"/>
        <v>0</v>
      </c>
      <c r="M67" s="2">
        <f t="shared" si="4"/>
        <v>0</v>
      </c>
      <c r="N67" s="2">
        <f t="shared" si="5"/>
        <v>1</v>
      </c>
      <c r="O67" s="2">
        <f t="shared" si="6"/>
        <v>0</v>
      </c>
      <c r="P67" s="2">
        <f t="shared" si="7"/>
        <v>0</v>
      </c>
    </row>
    <row r="68" ht="14.25" customHeight="1">
      <c r="A68" s="4">
        <v>45444.6875</v>
      </c>
      <c r="B68" s="1">
        <v>26.19995576076947</v>
      </c>
      <c r="C68" s="1">
        <v>46.823360428971505</v>
      </c>
      <c r="D68" s="1" t="b">
        <f>IF(AND(dss_report!$B68&gt;30, dss_report!$C68&lt;40), TRUE, FALSE)</f>
        <v>0</v>
      </c>
      <c r="E68" s="1"/>
      <c r="F68" s="2">
        <f>LET(
 _xlpm.t,dss_report!$B68, _xlpm.lo,18, _xlpm.hi,28,
 IF(AND(_xlpm.t&gt;=_xlpm.lo, _xlpm.t&lt;=_xlpm.hi), 1,
   IF(_xlpm.t&lt;_xlpm.lo, MAX(0, 1 - (_xlpm.lo - _xlpm.t)/(_xlpm.lo*0.5)),
             MAX(0, 1 - (_xlpm.t - _xlpm.hi)/(_xlpm.hi*0.5))
   )
 )
)</f>
        <v>1</v>
      </c>
      <c r="G68" s="2">
        <f>LET(
 _xlpm.h,dss_report!$C68, _xlpm.lo,45, _xlpm.hi,70,
 IF(AND(_xlpm.h&gt;=_xlpm.lo, _xlpm.h&lt;=_xlpm.hi), 1,
   IF(_xlpm.h&lt;_xlpm.lo, MAX(0, 1 - (_xlpm.lo - _xlpm.h)/(_xlpm.lo*0.5)),
             MAX(0, 1 - (_xlpm.h - _xlpm.hi)/(_xlpm.hi*0.5))
   )
 )
)</f>
        <v>1</v>
      </c>
      <c r="H68" s="2">
        <f t="shared" si="1"/>
        <v>1</v>
      </c>
      <c r="I68" s="2" t="b">
        <f>IF(OR(dss_report!$D68=TRUE, H68&lt;0.3), TRUE, FALSE)</f>
        <v>0</v>
      </c>
      <c r="J68" s="2" t="b">
        <f>IF( OR( AND(dss_report!$B68&gt;31, dss_report!$C68&lt;38), H68&lt;0.25 ), TRUE, FALSE)</f>
        <v>0</v>
      </c>
      <c r="K68" s="2">
        <f t="shared" si="2"/>
        <v>0</v>
      </c>
      <c r="L68" s="2">
        <f t="shared" si="3"/>
        <v>0</v>
      </c>
      <c r="M68" s="2">
        <f t="shared" si="4"/>
        <v>0</v>
      </c>
      <c r="N68" s="2">
        <f t="shared" si="5"/>
        <v>1</v>
      </c>
      <c r="O68" s="2">
        <f t="shared" si="6"/>
        <v>0</v>
      </c>
      <c r="P68" s="2">
        <f t="shared" si="7"/>
        <v>0</v>
      </c>
    </row>
    <row r="69" ht="14.25" customHeight="1">
      <c r="A69" s="4">
        <v>45444.697916666664</v>
      </c>
      <c r="B69" s="1">
        <v>25.91657258119974</v>
      </c>
      <c r="C69" s="1">
        <v>49.37375893509716</v>
      </c>
      <c r="D69" s="1" t="b">
        <f>IF(AND(dss_report!$B69&gt;30, dss_report!$C69&lt;40), TRUE, FALSE)</f>
        <v>0</v>
      </c>
      <c r="E69" s="1"/>
      <c r="F69" s="2">
        <f>LET(
 _xlpm.t,dss_report!$B69, _xlpm.lo,18, _xlpm.hi,28,
 IF(AND(_xlpm.t&gt;=_xlpm.lo, _xlpm.t&lt;=_xlpm.hi), 1,
   IF(_xlpm.t&lt;_xlpm.lo, MAX(0, 1 - (_xlpm.lo - _xlpm.t)/(_xlpm.lo*0.5)),
             MAX(0, 1 - (_xlpm.t - _xlpm.hi)/(_xlpm.hi*0.5))
   )
 )
)</f>
        <v>1</v>
      </c>
      <c r="G69" s="2">
        <f>LET(
 _xlpm.h,dss_report!$C69, _xlpm.lo,45, _xlpm.hi,70,
 IF(AND(_xlpm.h&gt;=_xlpm.lo, _xlpm.h&lt;=_xlpm.hi), 1,
   IF(_xlpm.h&lt;_xlpm.lo, MAX(0, 1 - (_xlpm.lo - _xlpm.h)/(_xlpm.lo*0.5)),
             MAX(0, 1 - (_xlpm.h - _xlpm.hi)/(_xlpm.hi*0.5))
   )
 )
)</f>
        <v>1</v>
      </c>
      <c r="H69" s="2">
        <f t="shared" si="1"/>
        <v>1</v>
      </c>
      <c r="I69" s="2" t="b">
        <f>IF(OR(dss_report!$D69=TRUE, H69&lt;0.3), TRUE, FALSE)</f>
        <v>0</v>
      </c>
      <c r="J69" s="2" t="b">
        <f>IF( OR( AND(dss_report!$B69&gt;31, dss_report!$C69&lt;38), H69&lt;0.25 ), TRUE, FALSE)</f>
        <v>0</v>
      </c>
      <c r="K69" s="2">
        <f t="shared" si="2"/>
        <v>0</v>
      </c>
      <c r="L69" s="2">
        <f t="shared" si="3"/>
        <v>0</v>
      </c>
      <c r="M69" s="2">
        <f t="shared" si="4"/>
        <v>0</v>
      </c>
      <c r="N69" s="2">
        <f t="shared" si="5"/>
        <v>1</v>
      </c>
      <c r="O69" s="2">
        <f t="shared" si="6"/>
        <v>0</v>
      </c>
      <c r="P69" s="2">
        <f t="shared" si="7"/>
        <v>0</v>
      </c>
    </row>
    <row r="70" ht="14.25" customHeight="1">
      <c r="A70" s="4">
        <v>45444.708333333336</v>
      </c>
      <c r="B70" s="1">
        <v>26.218520394856586</v>
      </c>
      <c r="C70" s="1">
        <v>46.9880054423452</v>
      </c>
      <c r="D70" s="1" t="b">
        <f>IF(AND(dss_report!$B70&gt;30, dss_report!$C70&lt;40), TRUE, FALSE)</f>
        <v>0</v>
      </c>
      <c r="E70" s="1"/>
      <c r="F70" s="2">
        <f>LET(
 _xlpm.t,dss_report!$B70, _xlpm.lo,18, _xlpm.hi,28,
 IF(AND(_xlpm.t&gt;=_xlpm.lo, _xlpm.t&lt;=_xlpm.hi), 1,
   IF(_xlpm.t&lt;_xlpm.lo, MAX(0, 1 - (_xlpm.lo - _xlpm.t)/(_xlpm.lo*0.5)),
             MAX(0, 1 - (_xlpm.t - _xlpm.hi)/(_xlpm.hi*0.5))
   )
 )
)</f>
        <v>1</v>
      </c>
      <c r="G70" s="2">
        <f>LET(
 _xlpm.h,dss_report!$C70, _xlpm.lo,45, _xlpm.hi,70,
 IF(AND(_xlpm.h&gt;=_xlpm.lo, _xlpm.h&lt;=_xlpm.hi), 1,
   IF(_xlpm.h&lt;_xlpm.lo, MAX(0, 1 - (_xlpm.lo - _xlpm.h)/(_xlpm.lo*0.5)),
             MAX(0, 1 - (_xlpm.h - _xlpm.hi)/(_xlpm.hi*0.5))
   )
 )
)</f>
        <v>1</v>
      </c>
      <c r="H70" s="2">
        <f t="shared" si="1"/>
        <v>1</v>
      </c>
      <c r="I70" s="2" t="b">
        <f>IF(OR(dss_report!$D70=TRUE, H70&lt;0.3), TRUE, FALSE)</f>
        <v>0</v>
      </c>
      <c r="J70" s="2" t="b">
        <f>IF( OR( AND(dss_report!$B70&gt;31, dss_report!$C70&lt;38), H70&lt;0.25 ), TRUE, FALSE)</f>
        <v>0</v>
      </c>
      <c r="K70" s="2">
        <f t="shared" si="2"/>
        <v>0</v>
      </c>
      <c r="L70" s="2">
        <f t="shared" si="3"/>
        <v>0</v>
      </c>
      <c r="M70" s="2">
        <f t="shared" si="4"/>
        <v>0</v>
      </c>
      <c r="N70" s="2">
        <f t="shared" si="5"/>
        <v>1</v>
      </c>
      <c r="O70" s="2">
        <f t="shared" si="6"/>
        <v>0</v>
      </c>
      <c r="P70" s="2">
        <f t="shared" si="7"/>
        <v>0</v>
      </c>
    </row>
    <row r="71" ht="14.25" customHeight="1">
      <c r="A71" s="4">
        <v>45444.71875</v>
      </c>
      <c r="B71" s="1">
        <v>25.394495470223397</v>
      </c>
      <c r="C71" s="1">
        <v>46.50087667937568</v>
      </c>
      <c r="D71" s="1" t="b">
        <f>IF(AND(dss_report!$B71&gt;30, dss_report!$C71&lt;40), TRUE, FALSE)</f>
        <v>0</v>
      </c>
      <c r="E71" s="1"/>
      <c r="F71" s="2">
        <f>LET(
 _xlpm.t,dss_report!$B71, _xlpm.lo,18, _xlpm.hi,28,
 IF(AND(_xlpm.t&gt;=_xlpm.lo, _xlpm.t&lt;=_xlpm.hi), 1,
   IF(_xlpm.t&lt;_xlpm.lo, MAX(0, 1 - (_xlpm.lo - _xlpm.t)/(_xlpm.lo*0.5)),
             MAX(0, 1 - (_xlpm.t - _xlpm.hi)/(_xlpm.hi*0.5))
   )
 )
)</f>
        <v>1</v>
      </c>
      <c r="G71" s="2">
        <f>LET(
 _xlpm.h,dss_report!$C71, _xlpm.lo,45, _xlpm.hi,70,
 IF(AND(_xlpm.h&gt;=_xlpm.lo, _xlpm.h&lt;=_xlpm.hi), 1,
   IF(_xlpm.h&lt;_xlpm.lo, MAX(0, 1 - (_xlpm.lo - _xlpm.h)/(_xlpm.lo*0.5)),
             MAX(0, 1 - (_xlpm.h - _xlpm.hi)/(_xlpm.hi*0.5))
   )
 )
)</f>
        <v>1</v>
      </c>
      <c r="H71" s="2">
        <f t="shared" si="1"/>
        <v>1</v>
      </c>
      <c r="I71" s="2" t="b">
        <f>IF(OR(dss_report!$D71=TRUE, H71&lt;0.3), TRUE, FALSE)</f>
        <v>0</v>
      </c>
      <c r="J71" s="2" t="b">
        <f>IF( OR( AND(dss_report!$B71&gt;31, dss_report!$C71&lt;38), H71&lt;0.25 ), TRUE, FALSE)</f>
        <v>0</v>
      </c>
      <c r="K71" s="2">
        <f t="shared" si="2"/>
        <v>0</v>
      </c>
      <c r="L71" s="2">
        <f t="shared" si="3"/>
        <v>0</v>
      </c>
      <c r="M71" s="2">
        <f t="shared" si="4"/>
        <v>0</v>
      </c>
      <c r="N71" s="2">
        <f t="shared" si="5"/>
        <v>1</v>
      </c>
      <c r="O71" s="2">
        <f t="shared" si="6"/>
        <v>0</v>
      </c>
      <c r="P71" s="2">
        <f t="shared" si="7"/>
        <v>0</v>
      </c>
    </row>
    <row r="72" ht="14.25" customHeight="1">
      <c r="A72" s="4">
        <v>45444.729166666664</v>
      </c>
      <c r="B72" s="1">
        <v>25.398584165661546</v>
      </c>
      <c r="C72" s="1">
        <v>45.76583350498016</v>
      </c>
      <c r="D72" s="1" t="b">
        <f>IF(AND(dss_report!$B72&gt;30, dss_report!$C72&lt;40), TRUE, FALSE)</f>
        <v>0</v>
      </c>
      <c r="E72" s="1"/>
      <c r="F72" s="2">
        <f>LET(
 _xlpm.t,dss_report!$B72, _xlpm.lo,18, _xlpm.hi,28,
 IF(AND(_xlpm.t&gt;=_xlpm.lo, _xlpm.t&lt;=_xlpm.hi), 1,
   IF(_xlpm.t&lt;_xlpm.lo, MAX(0, 1 - (_xlpm.lo - _xlpm.t)/(_xlpm.lo*0.5)),
             MAX(0, 1 - (_xlpm.t - _xlpm.hi)/(_xlpm.hi*0.5))
   )
 )
)</f>
        <v>1</v>
      </c>
      <c r="G72" s="2">
        <f>LET(
 _xlpm.h,dss_report!$C72, _xlpm.lo,45, _xlpm.hi,70,
 IF(AND(_xlpm.h&gt;=_xlpm.lo, _xlpm.h&lt;=_xlpm.hi), 1,
   IF(_xlpm.h&lt;_xlpm.lo, MAX(0, 1 - (_xlpm.lo - _xlpm.h)/(_xlpm.lo*0.5)),
             MAX(0, 1 - (_xlpm.h - _xlpm.hi)/(_xlpm.hi*0.5))
   )
 )
)</f>
        <v>1</v>
      </c>
      <c r="H72" s="2">
        <f t="shared" si="1"/>
        <v>1</v>
      </c>
      <c r="I72" s="2" t="b">
        <f>IF(OR(dss_report!$D72=TRUE, H72&lt;0.3), TRUE, FALSE)</f>
        <v>0</v>
      </c>
      <c r="J72" s="2" t="b">
        <f>IF( OR( AND(dss_report!$B72&gt;31, dss_report!$C72&lt;38), H72&lt;0.25 ), TRUE, FALSE)</f>
        <v>0</v>
      </c>
      <c r="K72" s="2">
        <f t="shared" si="2"/>
        <v>0</v>
      </c>
      <c r="L72" s="2">
        <f t="shared" si="3"/>
        <v>0</v>
      </c>
      <c r="M72" s="2">
        <f t="shared" si="4"/>
        <v>0</v>
      </c>
      <c r="N72" s="2">
        <f t="shared" si="5"/>
        <v>1</v>
      </c>
      <c r="O72" s="2">
        <f t="shared" si="6"/>
        <v>0</v>
      </c>
      <c r="P72" s="2">
        <f t="shared" si="7"/>
        <v>0</v>
      </c>
    </row>
    <row r="73" ht="14.25" customHeight="1">
      <c r="A73" s="4">
        <v>45444.739583333336</v>
      </c>
      <c r="B73" s="1">
        <v>25.52787777196758</v>
      </c>
      <c r="C73" s="1">
        <v>41.93664505935575</v>
      </c>
      <c r="D73" s="1" t="b">
        <f>IF(AND(dss_report!$B73&gt;30, dss_report!$C73&lt;40), TRUE, FALSE)</f>
        <v>0</v>
      </c>
      <c r="E73" s="1"/>
      <c r="F73" s="2">
        <f>LET(
 _xlpm.t,dss_report!$B73, _xlpm.lo,18, _xlpm.hi,28,
 IF(AND(_xlpm.t&gt;=_xlpm.lo, _xlpm.t&lt;=_xlpm.hi), 1,
   IF(_xlpm.t&lt;_xlpm.lo, MAX(0, 1 - (_xlpm.lo - _xlpm.t)/(_xlpm.lo*0.5)),
             MAX(0, 1 - (_xlpm.t - _xlpm.hi)/(_xlpm.hi*0.5))
   )
 )
)</f>
        <v>1</v>
      </c>
      <c r="G73" s="2">
        <f>LET(
 _xlpm.h,dss_report!$C73, _xlpm.lo,45, _xlpm.hi,70,
 IF(AND(_xlpm.h&gt;=_xlpm.lo, _xlpm.h&lt;=_xlpm.hi), 1,
   IF(_xlpm.h&lt;_xlpm.lo, MAX(0, 1 - (_xlpm.lo - _xlpm.h)/(_xlpm.lo*0.5)),
             MAX(0, 1 - (_xlpm.h - _xlpm.hi)/(_xlpm.hi*0.5))
   )
 )
)</f>
        <v>0.8638508915</v>
      </c>
      <c r="H73" s="2">
        <f t="shared" si="1"/>
        <v>0.9455403566</v>
      </c>
      <c r="I73" s="2" t="b">
        <f>IF(OR(dss_report!$D73=TRUE, H73&lt;0.3), TRUE, FALSE)</f>
        <v>0</v>
      </c>
      <c r="J73" s="2" t="b">
        <f>IF( OR( AND(dss_report!$B73&gt;31, dss_report!$C73&lt;38), H73&lt;0.25 ), TRUE, FALSE)</f>
        <v>0</v>
      </c>
      <c r="K73" s="2">
        <f t="shared" si="2"/>
        <v>0</v>
      </c>
      <c r="L73" s="2">
        <f t="shared" si="3"/>
        <v>0</v>
      </c>
      <c r="M73" s="2">
        <f t="shared" si="4"/>
        <v>0</v>
      </c>
      <c r="N73" s="2">
        <f t="shared" si="5"/>
        <v>1</v>
      </c>
      <c r="O73" s="2">
        <f t="shared" si="6"/>
        <v>0</v>
      </c>
      <c r="P73" s="2">
        <f t="shared" si="7"/>
        <v>0</v>
      </c>
    </row>
    <row r="74" ht="14.25" customHeight="1">
      <c r="A74" s="4">
        <v>45444.75</v>
      </c>
      <c r="B74" s="1">
        <v>25.28119548102439</v>
      </c>
      <c r="C74" s="1">
        <v>43.095201595525445</v>
      </c>
      <c r="D74" s="1" t="b">
        <f>IF(AND(dss_report!$B74&gt;30, dss_report!$C74&lt;40), TRUE, FALSE)</f>
        <v>0</v>
      </c>
      <c r="E74" s="1"/>
      <c r="F74" s="2">
        <f>LET(
 _xlpm.t,dss_report!$B74, _xlpm.lo,18, _xlpm.hi,28,
 IF(AND(_xlpm.t&gt;=_xlpm.lo, _xlpm.t&lt;=_xlpm.hi), 1,
   IF(_xlpm.t&lt;_xlpm.lo, MAX(0, 1 - (_xlpm.lo - _xlpm.t)/(_xlpm.lo*0.5)),
             MAX(0, 1 - (_xlpm.t - _xlpm.hi)/(_xlpm.hi*0.5))
   )
 )
)</f>
        <v>1</v>
      </c>
      <c r="G74" s="2">
        <f>LET(
 _xlpm.h,dss_report!$C74, _xlpm.lo,45, _xlpm.hi,70,
 IF(AND(_xlpm.h&gt;=_xlpm.lo, _xlpm.h&lt;=_xlpm.hi), 1,
   IF(_xlpm.h&lt;_xlpm.lo, MAX(0, 1 - (_xlpm.lo - _xlpm.h)/(_xlpm.lo*0.5)),
             MAX(0, 1 - (_xlpm.h - _xlpm.hi)/(_xlpm.hi*0.5))
   )
 )
)</f>
        <v>0.9153422931</v>
      </c>
      <c r="H74" s="2">
        <f t="shared" si="1"/>
        <v>0.9661369173</v>
      </c>
      <c r="I74" s="2" t="b">
        <f>IF(OR(dss_report!$D74=TRUE, H74&lt;0.3), TRUE, FALSE)</f>
        <v>0</v>
      </c>
      <c r="J74" s="2" t="b">
        <f>IF( OR( AND(dss_report!$B74&gt;31, dss_report!$C74&lt;38), H74&lt;0.25 ), TRUE, FALSE)</f>
        <v>0</v>
      </c>
      <c r="K74" s="2">
        <f t="shared" si="2"/>
        <v>0</v>
      </c>
      <c r="L74" s="2">
        <f t="shared" si="3"/>
        <v>0</v>
      </c>
      <c r="M74" s="2">
        <f t="shared" si="4"/>
        <v>0</v>
      </c>
      <c r="N74" s="2">
        <f t="shared" si="5"/>
        <v>1</v>
      </c>
      <c r="O74" s="2">
        <f t="shared" si="6"/>
        <v>0</v>
      </c>
      <c r="P74" s="2">
        <f t="shared" si="7"/>
        <v>0</v>
      </c>
    </row>
    <row r="75" ht="14.25" customHeight="1">
      <c r="A75" s="4">
        <v>45444.760416666664</v>
      </c>
      <c r="B75" s="1">
        <v>24.452593205825305</v>
      </c>
      <c r="C75" s="1">
        <v>47.64178913659064</v>
      </c>
      <c r="D75" s="1" t="b">
        <f>IF(AND(dss_report!$B75&gt;30, dss_report!$C75&lt;40), TRUE, FALSE)</f>
        <v>0</v>
      </c>
      <c r="E75" s="1"/>
      <c r="F75" s="2">
        <f>LET(
 _xlpm.t,dss_report!$B75, _xlpm.lo,18, _xlpm.hi,28,
 IF(AND(_xlpm.t&gt;=_xlpm.lo, _xlpm.t&lt;=_xlpm.hi), 1,
   IF(_xlpm.t&lt;_xlpm.lo, MAX(0, 1 - (_xlpm.lo - _xlpm.t)/(_xlpm.lo*0.5)),
             MAX(0, 1 - (_xlpm.t - _xlpm.hi)/(_xlpm.hi*0.5))
   )
 )
)</f>
        <v>1</v>
      </c>
      <c r="G75" s="2">
        <f>LET(
 _xlpm.h,dss_report!$C75, _xlpm.lo,45, _xlpm.hi,70,
 IF(AND(_xlpm.h&gt;=_xlpm.lo, _xlpm.h&lt;=_xlpm.hi), 1,
   IF(_xlpm.h&lt;_xlpm.lo, MAX(0, 1 - (_xlpm.lo - _xlpm.h)/(_xlpm.lo*0.5)),
             MAX(0, 1 - (_xlpm.h - _xlpm.hi)/(_xlpm.hi*0.5))
   )
 )
)</f>
        <v>1</v>
      </c>
      <c r="H75" s="2">
        <f t="shared" si="1"/>
        <v>1</v>
      </c>
      <c r="I75" s="2" t="b">
        <f>IF(OR(dss_report!$D75=TRUE, H75&lt;0.3), TRUE, FALSE)</f>
        <v>0</v>
      </c>
      <c r="J75" s="2" t="b">
        <f>IF( OR( AND(dss_report!$B75&gt;31, dss_report!$C75&lt;38), H75&lt;0.25 ), TRUE, FALSE)</f>
        <v>0</v>
      </c>
      <c r="K75" s="2">
        <f t="shared" si="2"/>
        <v>0</v>
      </c>
      <c r="L75" s="2">
        <f t="shared" si="3"/>
        <v>0</v>
      </c>
      <c r="M75" s="2">
        <f t="shared" si="4"/>
        <v>0</v>
      </c>
      <c r="N75" s="2">
        <f t="shared" si="5"/>
        <v>1</v>
      </c>
      <c r="O75" s="2">
        <f t="shared" si="6"/>
        <v>0</v>
      </c>
      <c r="P75" s="2">
        <f t="shared" si="7"/>
        <v>0</v>
      </c>
    </row>
    <row r="76" ht="14.25" customHeight="1">
      <c r="A76" s="4">
        <v>45444.770833333336</v>
      </c>
      <c r="B76" s="1">
        <v>25.53247744197623</v>
      </c>
      <c r="C76" s="1">
        <v>46.133494205438154</v>
      </c>
      <c r="D76" s="1" t="b">
        <f>IF(AND(dss_report!$B76&gt;30, dss_report!$C76&lt;40), TRUE, FALSE)</f>
        <v>0</v>
      </c>
      <c r="E76" s="1"/>
      <c r="F76" s="2">
        <f>LET(
 _xlpm.t,dss_report!$B76, _xlpm.lo,18, _xlpm.hi,28,
 IF(AND(_xlpm.t&gt;=_xlpm.lo, _xlpm.t&lt;=_xlpm.hi), 1,
   IF(_xlpm.t&lt;_xlpm.lo, MAX(0, 1 - (_xlpm.lo - _xlpm.t)/(_xlpm.lo*0.5)),
             MAX(0, 1 - (_xlpm.t - _xlpm.hi)/(_xlpm.hi*0.5))
   )
 )
)</f>
        <v>1</v>
      </c>
      <c r="G76" s="2">
        <f>LET(
 _xlpm.h,dss_report!$C76, _xlpm.lo,45, _xlpm.hi,70,
 IF(AND(_xlpm.h&gt;=_xlpm.lo, _xlpm.h&lt;=_xlpm.hi), 1,
   IF(_xlpm.h&lt;_xlpm.lo, MAX(0, 1 - (_xlpm.lo - _xlpm.h)/(_xlpm.lo*0.5)),
             MAX(0, 1 - (_xlpm.h - _xlpm.hi)/(_xlpm.hi*0.5))
   )
 )
)</f>
        <v>1</v>
      </c>
      <c r="H76" s="2">
        <f t="shared" si="1"/>
        <v>1</v>
      </c>
      <c r="I76" s="2" t="b">
        <f>IF(OR(dss_report!$D76=TRUE, H76&lt;0.3), TRUE, FALSE)</f>
        <v>0</v>
      </c>
      <c r="J76" s="2" t="b">
        <f>IF( OR( AND(dss_report!$B76&gt;31, dss_report!$C76&lt;38), H76&lt;0.25 ), TRUE, FALSE)</f>
        <v>0</v>
      </c>
      <c r="K76" s="2">
        <f t="shared" si="2"/>
        <v>0</v>
      </c>
      <c r="L76" s="2">
        <f t="shared" si="3"/>
        <v>0</v>
      </c>
      <c r="M76" s="2">
        <f t="shared" si="4"/>
        <v>0</v>
      </c>
      <c r="N76" s="2">
        <f t="shared" si="5"/>
        <v>1</v>
      </c>
      <c r="O76" s="2">
        <f t="shared" si="6"/>
        <v>0</v>
      </c>
      <c r="P76" s="2">
        <f t="shared" si="7"/>
        <v>0</v>
      </c>
    </row>
    <row r="77" ht="14.25" customHeight="1">
      <c r="A77" s="4">
        <v>45444.78125</v>
      </c>
      <c r="B77" s="1">
        <v>23.842444537228545</v>
      </c>
      <c r="C77" s="1">
        <v>45.321969166003754</v>
      </c>
      <c r="D77" s="1" t="b">
        <f>IF(AND(dss_report!$B77&gt;30, dss_report!$C77&lt;40), TRUE, FALSE)</f>
        <v>0</v>
      </c>
      <c r="E77" s="1"/>
      <c r="F77" s="2">
        <f>LET(
 _xlpm.t,dss_report!$B77, _xlpm.lo,18, _xlpm.hi,28,
 IF(AND(_xlpm.t&gt;=_xlpm.lo, _xlpm.t&lt;=_xlpm.hi), 1,
   IF(_xlpm.t&lt;_xlpm.lo, MAX(0, 1 - (_xlpm.lo - _xlpm.t)/(_xlpm.lo*0.5)),
             MAX(0, 1 - (_xlpm.t - _xlpm.hi)/(_xlpm.hi*0.5))
   )
 )
)</f>
        <v>1</v>
      </c>
      <c r="G77" s="2">
        <f>LET(
 _xlpm.h,dss_report!$C77, _xlpm.lo,45, _xlpm.hi,70,
 IF(AND(_xlpm.h&gt;=_xlpm.lo, _xlpm.h&lt;=_xlpm.hi), 1,
   IF(_xlpm.h&lt;_xlpm.lo, MAX(0, 1 - (_xlpm.lo - _xlpm.h)/(_xlpm.lo*0.5)),
             MAX(0, 1 - (_xlpm.h - _xlpm.hi)/(_xlpm.hi*0.5))
   )
 )
)</f>
        <v>1</v>
      </c>
      <c r="H77" s="2">
        <f t="shared" si="1"/>
        <v>1</v>
      </c>
      <c r="I77" s="2" t="b">
        <f>IF(OR(dss_report!$D77=TRUE, H77&lt;0.3), TRUE, FALSE)</f>
        <v>0</v>
      </c>
      <c r="J77" s="2" t="b">
        <f>IF( OR( AND(dss_report!$B77&gt;31, dss_report!$C77&lt;38), H77&lt;0.25 ), TRUE, FALSE)</f>
        <v>0</v>
      </c>
      <c r="K77" s="2">
        <f t="shared" si="2"/>
        <v>0</v>
      </c>
      <c r="L77" s="2">
        <f t="shared" si="3"/>
        <v>0</v>
      </c>
      <c r="M77" s="2">
        <f t="shared" si="4"/>
        <v>0</v>
      </c>
      <c r="N77" s="2">
        <f t="shared" si="5"/>
        <v>1</v>
      </c>
      <c r="O77" s="2">
        <f t="shared" si="6"/>
        <v>0</v>
      </c>
      <c r="P77" s="2">
        <f t="shared" si="7"/>
        <v>0</v>
      </c>
    </row>
    <row r="78" ht="14.25" customHeight="1">
      <c r="A78" s="4">
        <v>45444.791666666664</v>
      </c>
      <c r="B78" s="1">
        <v>23.75538818054223</v>
      </c>
      <c r="C78" s="1">
        <v>45.40971048085464</v>
      </c>
      <c r="D78" s="1" t="b">
        <f>IF(AND(dss_report!$B78&gt;30, dss_report!$C78&lt;40), TRUE, FALSE)</f>
        <v>0</v>
      </c>
      <c r="E78" s="1"/>
      <c r="F78" s="2">
        <f>LET(
 _xlpm.t,dss_report!$B78, _xlpm.lo,18, _xlpm.hi,28,
 IF(AND(_xlpm.t&gt;=_xlpm.lo, _xlpm.t&lt;=_xlpm.hi), 1,
   IF(_xlpm.t&lt;_xlpm.lo, MAX(0, 1 - (_xlpm.lo - _xlpm.t)/(_xlpm.lo*0.5)),
             MAX(0, 1 - (_xlpm.t - _xlpm.hi)/(_xlpm.hi*0.5))
   )
 )
)</f>
        <v>1</v>
      </c>
      <c r="G78" s="2">
        <f>LET(
 _xlpm.h,dss_report!$C78, _xlpm.lo,45, _xlpm.hi,70,
 IF(AND(_xlpm.h&gt;=_xlpm.lo, _xlpm.h&lt;=_xlpm.hi), 1,
   IF(_xlpm.h&lt;_xlpm.lo, MAX(0, 1 - (_xlpm.lo - _xlpm.h)/(_xlpm.lo*0.5)),
             MAX(0, 1 - (_xlpm.h - _xlpm.hi)/(_xlpm.hi*0.5))
   )
 )
)</f>
        <v>1</v>
      </c>
      <c r="H78" s="2">
        <f t="shared" si="1"/>
        <v>1</v>
      </c>
      <c r="I78" s="2" t="b">
        <f>IF(OR(dss_report!$D78=TRUE, H78&lt;0.3), TRUE, FALSE)</f>
        <v>0</v>
      </c>
      <c r="J78" s="2" t="b">
        <f>IF( OR( AND(dss_report!$B78&gt;31, dss_report!$C78&lt;38), H78&lt;0.25 ), TRUE, FALSE)</f>
        <v>0</v>
      </c>
      <c r="K78" s="2">
        <f t="shared" si="2"/>
        <v>0</v>
      </c>
      <c r="L78" s="2">
        <f t="shared" si="3"/>
        <v>0</v>
      </c>
      <c r="M78" s="2">
        <f t="shared" si="4"/>
        <v>0</v>
      </c>
      <c r="N78" s="2">
        <f t="shared" si="5"/>
        <v>1</v>
      </c>
      <c r="O78" s="2">
        <f t="shared" si="6"/>
        <v>0</v>
      </c>
      <c r="P78" s="2">
        <f t="shared" si="7"/>
        <v>0</v>
      </c>
    </row>
    <row r="79" ht="14.25" customHeight="1">
      <c r="A79" s="4">
        <v>45444.802083333336</v>
      </c>
      <c r="B79" s="1">
        <v>23.542288627657996</v>
      </c>
      <c r="C79" s="1">
        <v>42.87996101756031</v>
      </c>
      <c r="D79" s="1" t="b">
        <f>IF(AND(dss_report!$B79&gt;30, dss_report!$C79&lt;40), TRUE, FALSE)</f>
        <v>0</v>
      </c>
      <c r="E79" s="1"/>
      <c r="F79" s="2">
        <f>LET(
 _xlpm.t,dss_report!$B79, _xlpm.lo,18, _xlpm.hi,28,
 IF(AND(_xlpm.t&gt;=_xlpm.lo, _xlpm.t&lt;=_xlpm.hi), 1,
   IF(_xlpm.t&lt;_xlpm.lo, MAX(0, 1 - (_xlpm.lo - _xlpm.t)/(_xlpm.lo*0.5)),
             MAX(0, 1 - (_xlpm.t - _xlpm.hi)/(_xlpm.hi*0.5))
   )
 )
)</f>
        <v>1</v>
      </c>
      <c r="G79" s="2">
        <f>LET(
 _xlpm.h,dss_report!$C79, _xlpm.lo,45, _xlpm.hi,70,
 IF(AND(_xlpm.h&gt;=_xlpm.lo, _xlpm.h&lt;=_xlpm.hi), 1,
   IF(_xlpm.h&lt;_xlpm.lo, MAX(0, 1 - (_xlpm.lo - _xlpm.h)/(_xlpm.lo*0.5)),
             MAX(0, 1 - (_xlpm.h - _xlpm.hi)/(_xlpm.hi*0.5))
   )
 )
)</f>
        <v>0.9057760452</v>
      </c>
      <c r="H79" s="2">
        <f t="shared" si="1"/>
        <v>0.9623104181</v>
      </c>
      <c r="I79" s="2" t="b">
        <f>IF(OR(dss_report!$D79=TRUE, H79&lt;0.3), TRUE, FALSE)</f>
        <v>0</v>
      </c>
      <c r="J79" s="2" t="b">
        <f>IF( OR( AND(dss_report!$B79&gt;31, dss_report!$C79&lt;38), H79&lt;0.25 ), TRUE, FALSE)</f>
        <v>0</v>
      </c>
      <c r="K79" s="2">
        <f t="shared" si="2"/>
        <v>0</v>
      </c>
      <c r="L79" s="2">
        <f t="shared" si="3"/>
        <v>0</v>
      </c>
      <c r="M79" s="2">
        <f t="shared" si="4"/>
        <v>0</v>
      </c>
      <c r="N79" s="2">
        <f t="shared" si="5"/>
        <v>1</v>
      </c>
      <c r="O79" s="2">
        <f t="shared" si="6"/>
        <v>0</v>
      </c>
      <c r="P79" s="2">
        <f t="shared" si="7"/>
        <v>0</v>
      </c>
    </row>
    <row r="80" ht="14.25" customHeight="1">
      <c r="A80" s="4">
        <v>45444.8125</v>
      </c>
      <c r="B80" s="1">
        <v>24.96009539486968</v>
      </c>
      <c r="C80" s="1">
        <v>44.480621329010475</v>
      </c>
      <c r="D80" s="1" t="b">
        <f>IF(AND(dss_report!$B80&gt;30, dss_report!$C80&lt;40), TRUE, FALSE)</f>
        <v>0</v>
      </c>
      <c r="E80" s="1"/>
      <c r="F80" s="2">
        <f>LET(
 _xlpm.t,dss_report!$B80, _xlpm.lo,18, _xlpm.hi,28,
 IF(AND(_xlpm.t&gt;=_xlpm.lo, _xlpm.t&lt;=_xlpm.hi), 1,
   IF(_xlpm.t&lt;_xlpm.lo, MAX(0, 1 - (_xlpm.lo - _xlpm.t)/(_xlpm.lo*0.5)),
             MAX(0, 1 - (_xlpm.t - _xlpm.hi)/(_xlpm.hi*0.5))
   )
 )
)</f>
        <v>1</v>
      </c>
      <c r="G80" s="2">
        <f>LET(
 _xlpm.h,dss_report!$C80, _xlpm.lo,45, _xlpm.hi,70,
 IF(AND(_xlpm.h&gt;=_xlpm.lo, _xlpm.h&lt;=_xlpm.hi), 1,
   IF(_xlpm.h&lt;_xlpm.lo, MAX(0, 1 - (_xlpm.lo - _xlpm.h)/(_xlpm.lo*0.5)),
             MAX(0, 1 - (_xlpm.h - _xlpm.hi)/(_xlpm.hi*0.5))
   )
 )
)</f>
        <v>0.9769165035</v>
      </c>
      <c r="H80" s="2">
        <f t="shared" si="1"/>
        <v>0.9907666014</v>
      </c>
      <c r="I80" s="2" t="b">
        <f>IF(OR(dss_report!$D80=TRUE, H80&lt;0.3), TRUE, FALSE)</f>
        <v>0</v>
      </c>
      <c r="J80" s="2" t="b">
        <f>IF( OR( AND(dss_report!$B80&gt;31, dss_report!$C80&lt;38), H80&lt;0.25 ), TRUE, FALSE)</f>
        <v>0</v>
      </c>
      <c r="K80" s="2">
        <f t="shared" si="2"/>
        <v>0</v>
      </c>
      <c r="L80" s="2">
        <f t="shared" si="3"/>
        <v>0</v>
      </c>
      <c r="M80" s="2">
        <f t="shared" si="4"/>
        <v>0</v>
      </c>
      <c r="N80" s="2">
        <f t="shared" si="5"/>
        <v>1</v>
      </c>
      <c r="O80" s="2">
        <f t="shared" si="6"/>
        <v>0</v>
      </c>
      <c r="P80" s="2">
        <f t="shared" si="7"/>
        <v>0</v>
      </c>
    </row>
    <row r="81" ht="14.25" customHeight="1">
      <c r="A81" s="4">
        <v>45444.822916666664</v>
      </c>
      <c r="B81" s="1">
        <v>23.873531968918027</v>
      </c>
      <c r="C81" s="1">
        <v>41.84679390767975</v>
      </c>
      <c r="D81" s="1" t="b">
        <f>IF(AND(dss_report!$B81&gt;30, dss_report!$C81&lt;40), TRUE, FALSE)</f>
        <v>0</v>
      </c>
      <c r="E81" s="1"/>
      <c r="F81" s="2">
        <f>LET(
 _xlpm.t,dss_report!$B81, _xlpm.lo,18, _xlpm.hi,28,
 IF(AND(_xlpm.t&gt;=_xlpm.lo, _xlpm.t&lt;=_xlpm.hi), 1,
   IF(_xlpm.t&lt;_xlpm.lo, MAX(0, 1 - (_xlpm.lo - _xlpm.t)/(_xlpm.lo*0.5)),
             MAX(0, 1 - (_xlpm.t - _xlpm.hi)/(_xlpm.hi*0.5))
   )
 )
)</f>
        <v>1</v>
      </c>
      <c r="G81" s="2">
        <f>LET(
 _xlpm.h,dss_report!$C81, _xlpm.lo,45, _xlpm.hi,70,
 IF(AND(_xlpm.h&gt;=_xlpm.lo, _xlpm.h&lt;=_xlpm.hi), 1,
   IF(_xlpm.h&lt;_xlpm.lo, MAX(0, 1 - (_xlpm.lo - _xlpm.h)/(_xlpm.lo*0.5)),
             MAX(0, 1 - (_xlpm.h - _xlpm.hi)/(_xlpm.hi*0.5))
   )
 )
)</f>
        <v>0.859857507</v>
      </c>
      <c r="H81" s="2">
        <f t="shared" si="1"/>
        <v>0.9439430028</v>
      </c>
      <c r="I81" s="2" t="b">
        <f>IF(OR(dss_report!$D81=TRUE, H81&lt;0.3), TRUE, FALSE)</f>
        <v>0</v>
      </c>
      <c r="J81" s="2" t="b">
        <f>IF( OR( AND(dss_report!$B81&gt;31, dss_report!$C81&lt;38), H81&lt;0.25 ), TRUE, FALSE)</f>
        <v>0</v>
      </c>
      <c r="K81" s="2">
        <f t="shared" si="2"/>
        <v>0</v>
      </c>
      <c r="L81" s="2">
        <f t="shared" si="3"/>
        <v>0</v>
      </c>
      <c r="M81" s="2">
        <f t="shared" si="4"/>
        <v>0</v>
      </c>
      <c r="N81" s="2">
        <f t="shared" si="5"/>
        <v>1</v>
      </c>
      <c r="O81" s="2">
        <f t="shared" si="6"/>
        <v>0</v>
      </c>
      <c r="P81" s="2">
        <f t="shared" si="7"/>
        <v>0</v>
      </c>
    </row>
    <row r="82" ht="14.25" customHeight="1">
      <c r="A82" s="4">
        <v>45444.833333333336</v>
      </c>
      <c r="B82" s="1">
        <v>23.28878019725694</v>
      </c>
      <c r="C82" s="1">
        <v>44.28109792150008</v>
      </c>
      <c r="D82" s="1" t="b">
        <f>IF(AND(dss_report!$B82&gt;30, dss_report!$C82&lt;40), TRUE, FALSE)</f>
        <v>0</v>
      </c>
      <c r="E82" s="1"/>
      <c r="F82" s="2">
        <f>LET(
 _xlpm.t,dss_report!$B82, _xlpm.lo,18, _xlpm.hi,28,
 IF(AND(_xlpm.t&gt;=_xlpm.lo, _xlpm.t&lt;=_xlpm.hi), 1,
   IF(_xlpm.t&lt;_xlpm.lo, MAX(0, 1 - (_xlpm.lo - _xlpm.t)/(_xlpm.lo*0.5)),
             MAX(0, 1 - (_xlpm.t - _xlpm.hi)/(_xlpm.hi*0.5))
   )
 )
)</f>
        <v>1</v>
      </c>
      <c r="G82" s="2">
        <f>LET(
 _xlpm.h,dss_report!$C82, _xlpm.lo,45, _xlpm.hi,70,
 IF(AND(_xlpm.h&gt;=_xlpm.lo, _xlpm.h&lt;=_xlpm.hi), 1,
   IF(_xlpm.h&lt;_xlpm.lo, MAX(0, 1 - (_xlpm.lo - _xlpm.h)/(_xlpm.lo*0.5)),
             MAX(0, 1 - (_xlpm.h - _xlpm.hi)/(_xlpm.hi*0.5))
   )
 )
)</f>
        <v>0.9680487965</v>
      </c>
      <c r="H82" s="2">
        <f t="shared" si="1"/>
        <v>0.9872195186</v>
      </c>
      <c r="I82" s="2" t="b">
        <f>IF(OR(dss_report!$D82=TRUE, H82&lt;0.3), TRUE, FALSE)</f>
        <v>0</v>
      </c>
      <c r="J82" s="2" t="b">
        <f>IF( OR( AND(dss_report!$B82&gt;31, dss_report!$C82&lt;38), H82&lt;0.25 ), TRUE, FALSE)</f>
        <v>0</v>
      </c>
      <c r="K82" s="2">
        <f t="shared" si="2"/>
        <v>0</v>
      </c>
      <c r="L82" s="2">
        <f t="shared" si="3"/>
        <v>0</v>
      </c>
      <c r="M82" s="2">
        <f t="shared" si="4"/>
        <v>0</v>
      </c>
      <c r="N82" s="2">
        <f t="shared" si="5"/>
        <v>1</v>
      </c>
      <c r="O82" s="2">
        <f t="shared" si="6"/>
        <v>0</v>
      </c>
      <c r="P82" s="2">
        <f t="shared" si="7"/>
        <v>0</v>
      </c>
    </row>
    <row r="83" ht="14.25" customHeight="1">
      <c r="A83" s="4">
        <v>45444.84375</v>
      </c>
      <c r="B83" s="1">
        <v>23.015887327041234</v>
      </c>
      <c r="C83" s="1">
        <v>41.92654168804037</v>
      </c>
      <c r="D83" s="1" t="b">
        <f>IF(AND(dss_report!$B83&gt;30, dss_report!$C83&lt;40), TRUE, FALSE)</f>
        <v>0</v>
      </c>
      <c r="E83" s="1"/>
      <c r="F83" s="2">
        <f>LET(
 _xlpm.t,dss_report!$B83, _xlpm.lo,18, _xlpm.hi,28,
 IF(AND(_xlpm.t&gt;=_xlpm.lo, _xlpm.t&lt;=_xlpm.hi), 1,
   IF(_xlpm.t&lt;_xlpm.lo, MAX(0, 1 - (_xlpm.lo - _xlpm.t)/(_xlpm.lo*0.5)),
             MAX(0, 1 - (_xlpm.t - _xlpm.hi)/(_xlpm.hi*0.5))
   )
 )
)</f>
        <v>1</v>
      </c>
      <c r="G83" s="2">
        <f>LET(
 _xlpm.h,dss_report!$C83, _xlpm.lo,45, _xlpm.hi,70,
 IF(AND(_xlpm.h&gt;=_xlpm.lo, _xlpm.h&lt;=_xlpm.hi), 1,
   IF(_xlpm.h&lt;_xlpm.lo, MAX(0, 1 - (_xlpm.lo - _xlpm.h)/(_xlpm.lo*0.5)),
             MAX(0, 1 - (_xlpm.h - _xlpm.hi)/(_xlpm.hi*0.5))
   )
 )
)</f>
        <v>0.8634018528</v>
      </c>
      <c r="H83" s="2">
        <f t="shared" si="1"/>
        <v>0.9453607411</v>
      </c>
      <c r="I83" s="2" t="b">
        <f>IF(OR(dss_report!$D83=TRUE, H83&lt;0.3), TRUE, FALSE)</f>
        <v>0</v>
      </c>
      <c r="J83" s="2" t="b">
        <f>IF( OR( AND(dss_report!$B83&gt;31, dss_report!$C83&lt;38), H83&lt;0.25 ), TRUE, FALSE)</f>
        <v>0</v>
      </c>
      <c r="K83" s="2">
        <f t="shared" si="2"/>
        <v>0</v>
      </c>
      <c r="L83" s="2">
        <f t="shared" si="3"/>
        <v>0</v>
      </c>
      <c r="M83" s="2">
        <f t="shared" si="4"/>
        <v>0</v>
      </c>
      <c r="N83" s="2">
        <f t="shared" si="5"/>
        <v>1</v>
      </c>
      <c r="O83" s="2">
        <f t="shared" si="6"/>
        <v>0</v>
      </c>
      <c r="P83" s="2">
        <f t="shared" si="7"/>
        <v>0</v>
      </c>
    </row>
    <row r="84" ht="14.25" customHeight="1">
      <c r="A84" s="4">
        <v>45444.854166666664</v>
      </c>
      <c r="B84" s="1">
        <v>23.948783468130696</v>
      </c>
      <c r="C84" s="1">
        <v>42.79020179082319</v>
      </c>
      <c r="D84" s="1" t="b">
        <f>IF(AND(dss_report!$B84&gt;30, dss_report!$C84&lt;40), TRUE, FALSE)</f>
        <v>0</v>
      </c>
      <c r="E84" s="1"/>
      <c r="F84" s="2">
        <f>LET(
 _xlpm.t,dss_report!$B84, _xlpm.lo,18, _xlpm.hi,28,
 IF(AND(_xlpm.t&gt;=_xlpm.lo, _xlpm.t&lt;=_xlpm.hi), 1,
   IF(_xlpm.t&lt;_xlpm.lo, MAX(0, 1 - (_xlpm.lo - _xlpm.t)/(_xlpm.lo*0.5)),
             MAX(0, 1 - (_xlpm.t - _xlpm.hi)/(_xlpm.hi*0.5))
   )
 )
)</f>
        <v>1</v>
      </c>
      <c r="G84" s="2">
        <f>LET(
 _xlpm.h,dss_report!$C84, _xlpm.lo,45, _xlpm.hi,70,
 IF(AND(_xlpm.h&gt;=_xlpm.lo, _xlpm.h&lt;=_xlpm.hi), 1,
   IF(_xlpm.h&lt;_xlpm.lo, MAX(0, 1 - (_xlpm.lo - _xlpm.h)/(_xlpm.lo*0.5)),
             MAX(0, 1 - (_xlpm.h - _xlpm.hi)/(_xlpm.hi*0.5))
   )
 )
)</f>
        <v>0.9017867463</v>
      </c>
      <c r="H84" s="2">
        <f t="shared" si="1"/>
        <v>0.9607146985</v>
      </c>
      <c r="I84" s="2" t="b">
        <f>IF(OR(dss_report!$D84=TRUE, H84&lt;0.3), TRUE, FALSE)</f>
        <v>0</v>
      </c>
      <c r="J84" s="2" t="b">
        <f>IF( OR( AND(dss_report!$B84&gt;31, dss_report!$C84&lt;38), H84&lt;0.25 ), TRUE, FALSE)</f>
        <v>0</v>
      </c>
      <c r="K84" s="2">
        <f t="shared" si="2"/>
        <v>0</v>
      </c>
      <c r="L84" s="2">
        <f t="shared" si="3"/>
        <v>0</v>
      </c>
      <c r="M84" s="2">
        <f t="shared" si="4"/>
        <v>0</v>
      </c>
      <c r="N84" s="2">
        <f t="shared" si="5"/>
        <v>1</v>
      </c>
      <c r="O84" s="2">
        <f t="shared" si="6"/>
        <v>0</v>
      </c>
      <c r="P84" s="2">
        <f t="shared" si="7"/>
        <v>0</v>
      </c>
    </row>
    <row r="85" ht="14.25" customHeight="1">
      <c r="A85" s="4">
        <v>45444.864583333336</v>
      </c>
      <c r="B85" s="1">
        <v>22.75902877408821</v>
      </c>
      <c r="C85" s="1">
        <v>43.9944274391478</v>
      </c>
      <c r="D85" s="1" t="b">
        <f>IF(AND(dss_report!$B85&gt;30, dss_report!$C85&lt;40), TRUE, FALSE)</f>
        <v>0</v>
      </c>
      <c r="E85" s="1"/>
      <c r="F85" s="2">
        <f>LET(
 _xlpm.t,dss_report!$B85, _xlpm.lo,18, _xlpm.hi,28,
 IF(AND(_xlpm.t&gt;=_xlpm.lo, _xlpm.t&lt;=_xlpm.hi), 1,
   IF(_xlpm.t&lt;_xlpm.lo, MAX(0, 1 - (_xlpm.lo - _xlpm.t)/(_xlpm.lo*0.5)),
             MAX(0, 1 - (_xlpm.t - _xlpm.hi)/(_xlpm.hi*0.5))
   )
 )
)</f>
        <v>1</v>
      </c>
      <c r="G85" s="2">
        <f>LET(
 _xlpm.h,dss_report!$C85, _xlpm.lo,45, _xlpm.hi,70,
 IF(AND(_xlpm.h&gt;=_xlpm.lo, _xlpm.h&lt;=_xlpm.hi), 1,
   IF(_xlpm.h&lt;_xlpm.lo, MAX(0, 1 - (_xlpm.lo - _xlpm.h)/(_xlpm.lo*0.5)),
             MAX(0, 1 - (_xlpm.h - _xlpm.hi)/(_xlpm.hi*0.5))
   )
 )
)</f>
        <v>0.9553078862</v>
      </c>
      <c r="H85" s="2">
        <f t="shared" si="1"/>
        <v>0.9821231545</v>
      </c>
      <c r="I85" s="2" t="b">
        <f>IF(OR(dss_report!$D85=TRUE, H85&lt;0.3), TRUE, FALSE)</f>
        <v>0</v>
      </c>
      <c r="J85" s="2" t="b">
        <f>IF( OR( AND(dss_report!$B85&gt;31, dss_report!$C85&lt;38), H85&lt;0.25 ), TRUE, FALSE)</f>
        <v>0</v>
      </c>
      <c r="K85" s="2">
        <f t="shared" si="2"/>
        <v>0</v>
      </c>
      <c r="L85" s="2">
        <f t="shared" si="3"/>
        <v>0</v>
      </c>
      <c r="M85" s="2">
        <f t="shared" si="4"/>
        <v>0</v>
      </c>
      <c r="N85" s="2">
        <f t="shared" si="5"/>
        <v>1</v>
      </c>
      <c r="O85" s="2">
        <f t="shared" si="6"/>
        <v>0</v>
      </c>
      <c r="P85" s="2">
        <f t="shared" si="7"/>
        <v>0</v>
      </c>
    </row>
    <row r="86" ht="14.25" customHeight="1">
      <c r="A86" s="4">
        <v>45444.875</v>
      </c>
      <c r="B86" s="1">
        <v>22.451166891808715</v>
      </c>
      <c r="C86" s="1">
        <v>42.310634583607175</v>
      </c>
      <c r="D86" s="1" t="b">
        <f>IF(AND(dss_report!$B86&gt;30, dss_report!$C86&lt;40), TRUE, FALSE)</f>
        <v>0</v>
      </c>
      <c r="E86" s="1"/>
      <c r="F86" s="2">
        <f>LET(
 _xlpm.t,dss_report!$B86, _xlpm.lo,18, _xlpm.hi,28,
 IF(AND(_xlpm.t&gt;=_xlpm.lo, _xlpm.t&lt;=_xlpm.hi), 1,
   IF(_xlpm.t&lt;_xlpm.lo, MAX(0, 1 - (_xlpm.lo - _xlpm.t)/(_xlpm.lo*0.5)),
             MAX(0, 1 - (_xlpm.t - _xlpm.hi)/(_xlpm.hi*0.5))
   )
 )
)</f>
        <v>1</v>
      </c>
      <c r="G86" s="2">
        <f>LET(
 _xlpm.h,dss_report!$C86, _xlpm.lo,45, _xlpm.hi,70,
 IF(AND(_xlpm.h&gt;=_xlpm.lo, _xlpm.h&lt;=_xlpm.hi), 1,
   IF(_xlpm.h&lt;_xlpm.lo, MAX(0, 1 - (_xlpm.lo - _xlpm.h)/(_xlpm.lo*0.5)),
             MAX(0, 1 - (_xlpm.h - _xlpm.hi)/(_xlpm.hi*0.5))
   )
 )
)</f>
        <v>0.8804726482</v>
      </c>
      <c r="H86" s="2">
        <f t="shared" si="1"/>
        <v>0.9521890593</v>
      </c>
      <c r="I86" s="2" t="b">
        <f>IF(OR(dss_report!$D86=TRUE, H86&lt;0.3), TRUE, FALSE)</f>
        <v>0</v>
      </c>
      <c r="J86" s="2" t="b">
        <f>IF( OR( AND(dss_report!$B86&gt;31, dss_report!$C86&lt;38), H86&lt;0.25 ), TRUE, FALSE)</f>
        <v>0</v>
      </c>
      <c r="K86" s="2">
        <f t="shared" si="2"/>
        <v>0</v>
      </c>
      <c r="L86" s="2">
        <f t="shared" si="3"/>
        <v>0</v>
      </c>
      <c r="M86" s="2">
        <f t="shared" si="4"/>
        <v>0</v>
      </c>
      <c r="N86" s="2">
        <f t="shared" si="5"/>
        <v>1</v>
      </c>
      <c r="O86" s="2">
        <f t="shared" si="6"/>
        <v>0</v>
      </c>
      <c r="P86" s="2">
        <f t="shared" si="7"/>
        <v>0</v>
      </c>
    </row>
    <row r="87" ht="14.25" customHeight="1">
      <c r="A87" s="4">
        <v>45444.885416666664</v>
      </c>
      <c r="B87" s="1">
        <v>23.616641449600895</v>
      </c>
      <c r="C87" s="1">
        <v>44.14296439739155</v>
      </c>
      <c r="D87" s="1" t="b">
        <f>IF(AND(dss_report!$B87&gt;30, dss_report!$C87&lt;40), TRUE, FALSE)</f>
        <v>0</v>
      </c>
      <c r="E87" s="1"/>
      <c r="F87" s="2">
        <f>LET(
 _xlpm.t,dss_report!$B87, _xlpm.lo,18, _xlpm.hi,28,
 IF(AND(_xlpm.t&gt;=_xlpm.lo, _xlpm.t&lt;=_xlpm.hi), 1,
   IF(_xlpm.t&lt;_xlpm.lo, MAX(0, 1 - (_xlpm.lo - _xlpm.t)/(_xlpm.lo*0.5)),
             MAX(0, 1 - (_xlpm.t - _xlpm.hi)/(_xlpm.hi*0.5))
   )
 )
)</f>
        <v>1</v>
      </c>
      <c r="G87" s="2">
        <f>LET(
 _xlpm.h,dss_report!$C87, _xlpm.lo,45, _xlpm.hi,70,
 IF(AND(_xlpm.h&gt;=_xlpm.lo, _xlpm.h&lt;=_xlpm.hi), 1,
   IF(_xlpm.h&lt;_xlpm.lo, MAX(0, 1 - (_xlpm.lo - _xlpm.h)/(_xlpm.lo*0.5)),
             MAX(0, 1 - (_xlpm.h - _xlpm.hi)/(_xlpm.hi*0.5))
   )
 )
)</f>
        <v>0.9619095288</v>
      </c>
      <c r="H87" s="2">
        <f t="shared" si="1"/>
        <v>0.9847638115</v>
      </c>
      <c r="I87" s="2" t="b">
        <f>IF(OR(dss_report!$D87=TRUE, H87&lt;0.3), TRUE, FALSE)</f>
        <v>0</v>
      </c>
      <c r="J87" s="2" t="b">
        <f>IF( OR( AND(dss_report!$B87&gt;31, dss_report!$C87&lt;38), H87&lt;0.25 ), TRUE, FALSE)</f>
        <v>0</v>
      </c>
      <c r="K87" s="2">
        <f t="shared" si="2"/>
        <v>0</v>
      </c>
      <c r="L87" s="2">
        <f t="shared" si="3"/>
        <v>0</v>
      </c>
      <c r="M87" s="2">
        <f t="shared" si="4"/>
        <v>0</v>
      </c>
      <c r="N87" s="2">
        <f t="shared" si="5"/>
        <v>1</v>
      </c>
      <c r="O87" s="2">
        <f t="shared" si="6"/>
        <v>0</v>
      </c>
      <c r="P87" s="2">
        <f t="shared" si="7"/>
        <v>0</v>
      </c>
    </row>
    <row r="88" ht="14.25" customHeight="1">
      <c r="A88" s="4">
        <v>45444.895833333336</v>
      </c>
      <c r="B88" s="1">
        <v>22.19563567978665</v>
      </c>
      <c r="C88" s="1">
        <v>43.650561444376265</v>
      </c>
      <c r="D88" s="1" t="b">
        <f>IF(AND(dss_report!$B88&gt;30, dss_report!$C88&lt;40), TRUE, FALSE)</f>
        <v>0</v>
      </c>
      <c r="E88" s="1"/>
      <c r="F88" s="2">
        <f>LET(
 _xlpm.t,dss_report!$B88, _xlpm.lo,18, _xlpm.hi,28,
 IF(AND(_xlpm.t&gt;=_xlpm.lo, _xlpm.t&lt;=_xlpm.hi), 1,
   IF(_xlpm.t&lt;_xlpm.lo, MAX(0, 1 - (_xlpm.lo - _xlpm.t)/(_xlpm.lo*0.5)),
             MAX(0, 1 - (_xlpm.t - _xlpm.hi)/(_xlpm.hi*0.5))
   )
 )
)</f>
        <v>1</v>
      </c>
      <c r="G88" s="2">
        <f>LET(
 _xlpm.h,dss_report!$C88, _xlpm.lo,45, _xlpm.hi,70,
 IF(AND(_xlpm.h&gt;=_xlpm.lo, _xlpm.h&lt;=_xlpm.hi), 1,
   IF(_xlpm.h&lt;_xlpm.lo, MAX(0, 1 - (_xlpm.lo - _xlpm.h)/(_xlpm.lo*0.5)),
             MAX(0, 1 - (_xlpm.h - _xlpm.hi)/(_xlpm.hi*0.5))
   )
 )
)</f>
        <v>0.9400249531</v>
      </c>
      <c r="H88" s="2">
        <f t="shared" si="1"/>
        <v>0.9760099812</v>
      </c>
      <c r="I88" s="2" t="b">
        <f>IF(OR(dss_report!$D88=TRUE, H88&lt;0.3), TRUE, FALSE)</f>
        <v>0</v>
      </c>
      <c r="J88" s="2" t="b">
        <f>IF( OR( AND(dss_report!$B88&gt;31, dss_report!$C88&lt;38), H88&lt;0.25 ), TRUE, FALSE)</f>
        <v>0</v>
      </c>
      <c r="K88" s="2">
        <f t="shared" si="2"/>
        <v>0</v>
      </c>
      <c r="L88" s="2">
        <f t="shared" si="3"/>
        <v>0</v>
      </c>
      <c r="M88" s="2">
        <f t="shared" si="4"/>
        <v>0</v>
      </c>
      <c r="N88" s="2">
        <f t="shared" si="5"/>
        <v>1</v>
      </c>
      <c r="O88" s="2">
        <f t="shared" si="6"/>
        <v>0</v>
      </c>
      <c r="P88" s="2">
        <f t="shared" si="7"/>
        <v>0</v>
      </c>
    </row>
    <row r="89" ht="14.25" customHeight="1">
      <c r="A89" s="4">
        <v>45444.90625</v>
      </c>
      <c r="B89" s="1">
        <v>22.655607179381438</v>
      </c>
      <c r="C89" s="1">
        <v>43.35528770805157</v>
      </c>
      <c r="D89" s="1" t="b">
        <f>IF(AND(dss_report!$B89&gt;30, dss_report!$C89&lt;40), TRUE, FALSE)</f>
        <v>0</v>
      </c>
      <c r="E89" s="1"/>
      <c r="F89" s="2">
        <f>LET(
 _xlpm.t,dss_report!$B89, _xlpm.lo,18, _xlpm.hi,28,
 IF(AND(_xlpm.t&gt;=_xlpm.lo, _xlpm.t&lt;=_xlpm.hi), 1,
   IF(_xlpm.t&lt;_xlpm.lo, MAX(0, 1 - (_xlpm.lo - _xlpm.t)/(_xlpm.lo*0.5)),
             MAX(0, 1 - (_xlpm.t - _xlpm.hi)/(_xlpm.hi*0.5))
   )
 )
)</f>
        <v>1</v>
      </c>
      <c r="G89" s="2">
        <f>LET(
 _xlpm.h,dss_report!$C89, _xlpm.lo,45, _xlpm.hi,70,
 IF(AND(_xlpm.h&gt;=_xlpm.lo, _xlpm.h&lt;=_xlpm.hi), 1,
   IF(_xlpm.h&lt;_xlpm.lo, MAX(0, 1 - (_xlpm.lo - _xlpm.h)/(_xlpm.lo*0.5)),
             MAX(0, 1 - (_xlpm.h - _xlpm.hi)/(_xlpm.hi*0.5))
   )
 )
)</f>
        <v>0.9269016759</v>
      </c>
      <c r="H89" s="2">
        <f t="shared" si="1"/>
        <v>0.9707606704</v>
      </c>
      <c r="I89" s="2" t="b">
        <f>IF(OR(dss_report!$D89=TRUE, H89&lt;0.3), TRUE, FALSE)</f>
        <v>0</v>
      </c>
      <c r="J89" s="2" t="b">
        <f>IF( OR( AND(dss_report!$B89&gt;31, dss_report!$C89&lt;38), H89&lt;0.25 ), TRUE, FALSE)</f>
        <v>0</v>
      </c>
      <c r="K89" s="2">
        <f t="shared" si="2"/>
        <v>0</v>
      </c>
      <c r="L89" s="2">
        <f t="shared" si="3"/>
        <v>0</v>
      </c>
      <c r="M89" s="2">
        <f t="shared" si="4"/>
        <v>0</v>
      </c>
      <c r="N89" s="2">
        <f t="shared" si="5"/>
        <v>1</v>
      </c>
      <c r="O89" s="2">
        <f t="shared" si="6"/>
        <v>0</v>
      </c>
      <c r="P89" s="2">
        <f t="shared" si="7"/>
        <v>0</v>
      </c>
    </row>
    <row r="90" ht="14.25" customHeight="1">
      <c r="A90" s="4">
        <v>45444.916666666664</v>
      </c>
      <c r="B90" s="1">
        <v>22.726297191653323</v>
      </c>
      <c r="C90" s="1">
        <v>45.19038422282373</v>
      </c>
      <c r="D90" s="1" t="b">
        <f>IF(AND(dss_report!$B90&gt;30, dss_report!$C90&lt;40), TRUE, FALSE)</f>
        <v>0</v>
      </c>
      <c r="E90" s="1"/>
      <c r="F90" s="2">
        <f>LET(
 _xlpm.t,dss_report!$B90, _xlpm.lo,18, _xlpm.hi,28,
 IF(AND(_xlpm.t&gt;=_xlpm.lo, _xlpm.t&lt;=_xlpm.hi), 1,
   IF(_xlpm.t&lt;_xlpm.lo, MAX(0, 1 - (_xlpm.lo - _xlpm.t)/(_xlpm.lo*0.5)),
             MAX(0, 1 - (_xlpm.t - _xlpm.hi)/(_xlpm.hi*0.5))
   )
 )
)</f>
        <v>1</v>
      </c>
      <c r="G90" s="2">
        <f>LET(
 _xlpm.h,dss_report!$C90, _xlpm.lo,45, _xlpm.hi,70,
 IF(AND(_xlpm.h&gt;=_xlpm.lo, _xlpm.h&lt;=_xlpm.hi), 1,
   IF(_xlpm.h&lt;_xlpm.lo, MAX(0, 1 - (_xlpm.lo - _xlpm.h)/(_xlpm.lo*0.5)),
             MAX(0, 1 - (_xlpm.h - _xlpm.hi)/(_xlpm.hi*0.5))
   )
 )
)</f>
        <v>1</v>
      </c>
      <c r="H90" s="2">
        <f t="shared" si="1"/>
        <v>1</v>
      </c>
      <c r="I90" s="2" t="b">
        <f>IF(OR(dss_report!$D90=TRUE, H90&lt;0.3), TRUE, FALSE)</f>
        <v>0</v>
      </c>
      <c r="J90" s="2" t="b">
        <f>IF( OR( AND(dss_report!$B90&gt;31, dss_report!$C90&lt;38), H90&lt;0.25 ), TRUE, FALSE)</f>
        <v>0</v>
      </c>
      <c r="K90" s="2">
        <f t="shared" si="2"/>
        <v>0</v>
      </c>
      <c r="L90" s="2">
        <f t="shared" si="3"/>
        <v>0</v>
      </c>
      <c r="M90" s="2">
        <f t="shared" si="4"/>
        <v>0</v>
      </c>
      <c r="N90" s="2">
        <f t="shared" si="5"/>
        <v>1</v>
      </c>
      <c r="O90" s="2">
        <f t="shared" si="6"/>
        <v>0</v>
      </c>
      <c r="P90" s="2">
        <f t="shared" si="7"/>
        <v>0</v>
      </c>
    </row>
    <row r="91" ht="14.25" customHeight="1">
      <c r="A91" s="4">
        <v>45444.927083333336</v>
      </c>
      <c r="B91" s="1">
        <v>22.270978376218977</v>
      </c>
      <c r="C91" s="1">
        <v>39.50637964405577</v>
      </c>
      <c r="D91" s="1" t="b">
        <f>IF(AND(dss_report!$B91&gt;30, dss_report!$C91&lt;40), TRUE, FALSE)</f>
        <v>0</v>
      </c>
      <c r="E91" s="1"/>
      <c r="F91" s="2">
        <f>LET(
 _xlpm.t,dss_report!$B91, _xlpm.lo,18, _xlpm.hi,28,
 IF(AND(_xlpm.t&gt;=_xlpm.lo, _xlpm.t&lt;=_xlpm.hi), 1,
   IF(_xlpm.t&lt;_xlpm.lo, MAX(0, 1 - (_xlpm.lo - _xlpm.t)/(_xlpm.lo*0.5)),
             MAX(0, 1 - (_xlpm.t - _xlpm.hi)/(_xlpm.hi*0.5))
   )
 )
)</f>
        <v>1</v>
      </c>
      <c r="G91" s="2">
        <f>LET(
 _xlpm.h,dss_report!$C91, _xlpm.lo,45, _xlpm.hi,70,
 IF(AND(_xlpm.h&gt;=_xlpm.lo, _xlpm.h&lt;=_xlpm.hi), 1,
   IF(_xlpm.h&lt;_xlpm.lo, MAX(0, 1 - (_xlpm.lo - _xlpm.h)/(_xlpm.lo*0.5)),
             MAX(0, 1 - (_xlpm.h - _xlpm.hi)/(_xlpm.hi*0.5))
   )
 )
)</f>
        <v>0.7558390953</v>
      </c>
      <c r="H91" s="2">
        <f t="shared" si="1"/>
        <v>0.9023356381</v>
      </c>
      <c r="I91" s="2" t="b">
        <f>IF(OR(dss_report!$D91=TRUE, H91&lt;0.3), TRUE, FALSE)</f>
        <v>0</v>
      </c>
      <c r="J91" s="2" t="b">
        <f>IF( OR( AND(dss_report!$B91&gt;31, dss_report!$C91&lt;38), H91&lt;0.25 ), TRUE, FALSE)</f>
        <v>0</v>
      </c>
      <c r="K91" s="2">
        <f t="shared" si="2"/>
        <v>0</v>
      </c>
      <c r="L91" s="2">
        <f t="shared" si="3"/>
        <v>0</v>
      </c>
      <c r="M91" s="2">
        <f t="shared" si="4"/>
        <v>0</v>
      </c>
      <c r="N91" s="2">
        <f t="shared" si="5"/>
        <v>1</v>
      </c>
      <c r="O91" s="2">
        <f t="shared" si="6"/>
        <v>0</v>
      </c>
      <c r="P91" s="2">
        <f t="shared" si="7"/>
        <v>0</v>
      </c>
    </row>
    <row r="92" ht="14.25" customHeight="1">
      <c r="A92" s="4">
        <v>45444.9375</v>
      </c>
      <c r="B92" s="1">
        <v>22.398726543212696</v>
      </c>
      <c r="C92" s="1">
        <v>39.18165619434935</v>
      </c>
      <c r="D92" s="1" t="b">
        <f>IF(AND(dss_report!$B92&gt;30, dss_report!$C92&lt;40), TRUE, FALSE)</f>
        <v>0</v>
      </c>
      <c r="E92" s="1"/>
      <c r="F92" s="2">
        <f>LET(
 _xlpm.t,dss_report!$B92, _xlpm.lo,18, _xlpm.hi,28,
 IF(AND(_xlpm.t&gt;=_xlpm.lo, _xlpm.t&lt;=_xlpm.hi), 1,
   IF(_xlpm.t&lt;_xlpm.lo, MAX(0, 1 - (_xlpm.lo - _xlpm.t)/(_xlpm.lo*0.5)),
             MAX(0, 1 - (_xlpm.t - _xlpm.hi)/(_xlpm.hi*0.5))
   )
 )
)</f>
        <v>1</v>
      </c>
      <c r="G92" s="2">
        <f>LET(
 _xlpm.h,dss_report!$C92, _xlpm.lo,45, _xlpm.hi,70,
 IF(AND(_xlpm.h&gt;=_xlpm.lo, _xlpm.h&lt;=_xlpm.hi), 1,
   IF(_xlpm.h&lt;_xlpm.lo, MAX(0, 1 - (_xlpm.lo - _xlpm.h)/(_xlpm.lo*0.5)),
             MAX(0, 1 - (_xlpm.h - _xlpm.hi)/(_xlpm.hi*0.5))
   )
 )
)</f>
        <v>0.741406942</v>
      </c>
      <c r="H92" s="2">
        <f t="shared" si="1"/>
        <v>0.8965627768</v>
      </c>
      <c r="I92" s="2" t="b">
        <f>IF(OR(dss_report!$D92=TRUE, H92&lt;0.3), TRUE, FALSE)</f>
        <v>0</v>
      </c>
      <c r="J92" s="2" t="b">
        <f>IF( OR( AND(dss_report!$B92&gt;31, dss_report!$C92&lt;38), H92&lt;0.25 ), TRUE, FALSE)</f>
        <v>0</v>
      </c>
      <c r="K92" s="2">
        <f t="shared" si="2"/>
        <v>0</v>
      </c>
      <c r="L92" s="2">
        <f t="shared" si="3"/>
        <v>0</v>
      </c>
      <c r="M92" s="2">
        <f t="shared" si="4"/>
        <v>0</v>
      </c>
      <c r="N92" s="2">
        <f t="shared" si="5"/>
        <v>1</v>
      </c>
      <c r="O92" s="2">
        <f t="shared" si="6"/>
        <v>0</v>
      </c>
      <c r="P92" s="2">
        <f t="shared" si="7"/>
        <v>0</v>
      </c>
    </row>
    <row r="93" ht="14.25" customHeight="1">
      <c r="A93" s="4">
        <v>45444.947916666664</v>
      </c>
      <c r="B93" s="1">
        <v>23.230035707352727</v>
      </c>
      <c r="C93" s="1">
        <v>43.53433958134755</v>
      </c>
      <c r="D93" s="1" t="b">
        <f>IF(AND(dss_report!$B93&gt;30, dss_report!$C93&lt;40), TRUE, FALSE)</f>
        <v>0</v>
      </c>
      <c r="E93" s="1"/>
      <c r="F93" s="2">
        <f>LET(
 _xlpm.t,dss_report!$B93, _xlpm.lo,18, _xlpm.hi,28,
 IF(AND(_xlpm.t&gt;=_xlpm.lo, _xlpm.t&lt;=_xlpm.hi), 1,
   IF(_xlpm.t&lt;_xlpm.lo, MAX(0, 1 - (_xlpm.lo - _xlpm.t)/(_xlpm.lo*0.5)),
             MAX(0, 1 - (_xlpm.t - _xlpm.hi)/(_xlpm.hi*0.5))
   )
 )
)</f>
        <v>1</v>
      </c>
      <c r="G93" s="2">
        <f>LET(
 _xlpm.h,dss_report!$C93, _xlpm.lo,45, _xlpm.hi,70,
 IF(AND(_xlpm.h&gt;=_xlpm.lo, _xlpm.h&lt;=_xlpm.hi), 1,
   IF(_xlpm.h&lt;_xlpm.lo, MAX(0, 1 - (_xlpm.lo - _xlpm.h)/(_xlpm.lo*0.5)),
             MAX(0, 1 - (_xlpm.h - _xlpm.hi)/(_xlpm.hi*0.5))
   )
 )
)</f>
        <v>0.9348595369</v>
      </c>
      <c r="H93" s="2">
        <f t="shared" si="1"/>
        <v>0.9739438148</v>
      </c>
      <c r="I93" s="2" t="b">
        <f>IF(OR(dss_report!$D93=TRUE, H93&lt;0.3), TRUE, FALSE)</f>
        <v>0</v>
      </c>
      <c r="J93" s="2" t="b">
        <f>IF( OR( AND(dss_report!$B93&gt;31, dss_report!$C93&lt;38), H93&lt;0.25 ), TRUE, FALSE)</f>
        <v>0</v>
      </c>
      <c r="K93" s="2">
        <f t="shared" si="2"/>
        <v>0</v>
      </c>
      <c r="L93" s="2">
        <f t="shared" si="3"/>
        <v>0</v>
      </c>
      <c r="M93" s="2">
        <f t="shared" si="4"/>
        <v>0</v>
      </c>
      <c r="N93" s="2">
        <f t="shared" si="5"/>
        <v>1</v>
      </c>
      <c r="O93" s="2">
        <f t="shared" si="6"/>
        <v>0</v>
      </c>
      <c r="P93" s="2">
        <f t="shared" si="7"/>
        <v>0</v>
      </c>
    </row>
    <row r="94" ht="14.25" customHeight="1">
      <c r="A94" s="4">
        <v>45444.958333333336</v>
      </c>
      <c r="B94" s="1">
        <v>21.790015735187154</v>
      </c>
      <c r="C94" s="1">
        <v>44.118714697265496</v>
      </c>
      <c r="D94" s="1" t="b">
        <f>IF(AND(dss_report!$B94&gt;30, dss_report!$C94&lt;40), TRUE, FALSE)</f>
        <v>0</v>
      </c>
      <c r="E94" s="1"/>
      <c r="F94" s="2">
        <f>LET(
 _xlpm.t,dss_report!$B94, _xlpm.lo,18, _xlpm.hi,28,
 IF(AND(_xlpm.t&gt;=_xlpm.lo, _xlpm.t&lt;=_xlpm.hi), 1,
   IF(_xlpm.t&lt;_xlpm.lo, MAX(0, 1 - (_xlpm.lo - _xlpm.t)/(_xlpm.lo*0.5)),
             MAX(0, 1 - (_xlpm.t - _xlpm.hi)/(_xlpm.hi*0.5))
   )
 )
)</f>
        <v>1</v>
      </c>
      <c r="G94" s="2">
        <f>LET(
 _xlpm.h,dss_report!$C94, _xlpm.lo,45, _xlpm.hi,70,
 IF(AND(_xlpm.h&gt;=_xlpm.lo, _xlpm.h&lt;=_xlpm.hi), 1,
   IF(_xlpm.h&lt;_xlpm.lo, MAX(0, 1 - (_xlpm.lo - _xlpm.h)/(_xlpm.lo*0.5)),
             MAX(0, 1 - (_xlpm.h - _xlpm.hi)/(_xlpm.hi*0.5))
   )
 )
)</f>
        <v>0.9608317643</v>
      </c>
      <c r="H94" s="2">
        <f t="shared" si="1"/>
        <v>0.9843327057</v>
      </c>
      <c r="I94" s="2" t="b">
        <f>IF(OR(dss_report!$D94=TRUE, H94&lt;0.3), TRUE, FALSE)</f>
        <v>0</v>
      </c>
      <c r="J94" s="2" t="b">
        <f>IF( OR( AND(dss_report!$B94&gt;31, dss_report!$C94&lt;38), H94&lt;0.25 ), TRUE, FALSE)</f>
        <v>0</v>
      </c>
      <c r="K94" s="2">
        <f t="shared" si="2"/>
        <v>0</v>
      </c>
      <c r="L94" s="2">
        <f t="shared" si="3"/>
        <v>0</v>
      </c>
      <c r="M94" s="2">
        <f t="shared" si="4"/>
        <v>0</v>
      </c>
      <c r="N94" s="2">
        <f t="shared" si="5"/>
        <v>1</v>
      </c>
      <c r="O94" s="2">
        <f t="shared" si="6"/>
        <v>0</v>
      </c>
      <c r="P94" s="2">
        <f t="shared" si="7"/>
        <v>0</v>
      </c>
    </row>
    <row r="95" ht="14.25" customHeight="1">
      <c r="A95" s="4">
        <v>45444.96875</v>
      </c>
      <c r="B95" s="1">
        <v>21.13213804139592</v>
      </c>
      <c r="C95" s="1">
        <v>46.203377337332036</v>
      </c>
      <c r="D95" s="1" t="b">
        <f>IF(AND(dss_report!$B95&gt;30, dss_report!$C95&lt;40), TRUE, FALSE)</f>
        <v>0</v>
      </c>
      <c r="E95" s="1"/>
      <c r="F95" s="2">
        <f>LET(
 _xlpm.t,dss_report!$B95, _xlpm.lo,18, _xlpm.hi,28,
 IF(AND(_xlpm.t&gt;=_xlpm.lo, _xlpm.t&lt;=_xlpm.hi), 1,
   IF(_xlpm.t&lt;_xlpm.lo, MAX(0, 1 - (_xlpm.lo - _xlpm.t)/(_xlpm.lo*0.5)),
             MAX(0, 1 - (_xlpm.t - _xlpm.hi)/(_xlpm.hi*0.5))
   )
 )
)</f>
        <v>1</v>
      </c>
      <c r="G95" s="2">
        <f>LET(
 _xlpm.h,dss_report!$C95, _xlpm.lo,45, _xlpm.hi,70,
 IF(AND(_xlpm.h&gt;=_xlpm.lo, _xlpm.h&lt;=_xlpm.hi), 1,
   IF(_xlpm.h&lt;_xlpm.lo, MAX(0, 1 - (_xlpm.lo - _xlpm.h)/(_xlpm.lo*0.5)),
             MAX(0, 1 - (_xlpm.h - _xlpm.hi)/(_xlpm.hi*0.5))
   )
 )
)</f>
        <v>1</v>
      </c>
      <c r="H95" s="2">
        <f t="shared" si="1"/>
        <v>1</v>
      </c>
      <c r="I95" s="2" t="b">
        <f>IF(OR(dss_report!$D95=TRUE, H95&lt;0.3), TRUE, FALSE)</f>
        <v>0</v>
      </c>
      <c r="J95" s="2" t="b">
        <f>IF( OR( AND(dss_report!$B95&gt;31, dss_report!$C95&lt;38), H95&lt;0.25 ), TRUE, FALSE)</f>
        <v>0</v>
      </c>
      <c r="K95" s="2">
        <f t="shared" si="2"/>
        <v>0</v>
      </c>
      <c r="L95" s="2">
        <f t="shared" si="3"/>
        <v>0</v>
      </c>
      <c r="M95" s="2">
        <f t="shared" si="4"/>
        <v>0</v>
      </c>
      <c r="N95" s="2">
        <f t="shared" si="5"/>
        <v>1</v>
      </c>
      <c r="O95" s="2">
        <f t="shared" si="6"/>
        <v>0</v>
      </c>
      <c r="P95" s="2">
        <f t="shared" si="7"/>
        <v>0</v>
      </c>
    </row>
    <row r="96" ht="14.25" customHeight="1">
      <c r="A96" s="4">
        <v>45444.979166666664</v>
      </c>
      <c r="B96" s="1">
        <v>20.59282064225501</v>
      </c>
      <c r="C96" s="1">
        <v>43.64333608370078</v>
      </c>
      <c r="D96" s="1" t="b">
        <f>IF(AND(dss_report!$B96&gt;30, dss_report!$C96&lt;40), TRUE, FALSE)</f>
        <v>0</v>
      </c>
      <c r="E96" s="1"/>
      <c r="F96" s="2">
        <f>LET(
 _xlpm.t,dss_report!$B96, _xlpm.lo,18, _xlpm.hi,28,
 IF(AND(_xlpm.t&gt;=_xlpm.lo, _xlpm.t&lt;=_xlpm.hi), 1,
   IF(_xlpm.t&lt;_xlpm.lo, MAX(0, 1 - (_xlpm.lo - _xlpm.t)/(_xlpm.lo*0.5)),
             MAX(0, 1 - (_xlpm.t - _xlpm.hi)/(_xlpm.hi*0.5))
   )
 )
)</f>
        <v>1</v>
      </c>
      <c r="G96" s="2">
        <f>LET(
 _xlpm.h,dss_report!$C96, _xlpm.lo,45, _xlpm.hi,70,
 IF(AND(_xlpm.h&gt;=_xlpm.lo, _xlpm.h&lt;=_xlpm.hi), 1,
   IF(_xlpm.h&lt;_xlpm.lo, MAX(0, 1 - (_xlpm.lo - _xlpm.h)/(_xlpm.lo*0.5)),
             MAX(0, 1 - (_xlpm.h - _xlpm.hi)/(_xlpm.hi*0.5))
   )
 )
)</f>
        <v>0.9397038259</v>
      </c>
      <c r="H96" s="2">
        <f t="shared" si="1"/>
        <v>0.9758815304</v>
      </c>
      <c r="I96" s="2" t="b">
        <f>IF(OR(dss_report!$D96=TRUE, H96&lt;0.3), TRUE, FALSE)</f>
        <v>0</v>
      </c>
      <c r="J96" s="2" t="b">
        <f>IF( OR( AND(dss_report!$B96&gt;31, dss_report!$C96&lt;38), H96&lt;0.25 ), TRUE, FALSE)</f>
        <v>0</v>
      </c>
      <c r="K96" s="2">
        <f t="shared" si="2"/>
        <v>0</v>
      </c>
      <c r="L96" s="2">
        <f t="shared" si="3"/>
        <v>0</v>
      </c>
      <c r="M96" s="2">
        <f t="shared" si="4"/>
        <v>0</v>
      </c>
      <c r="N96" s="2">
        <f t="shared" si="5"/>
        <v>1</v>
      </c>
      <c r="O96" s="2">
        <f t="shared" si="6"/>
        <v>0</v>
      </c>
      <c r="P96" s="2">
        <f t="shared" si="7"/>
        <v>0</v>
      </c>
    </row>
    <row r="97" ht="14.25" customHeight="1">
      <c r="A97" s="4">
        <v>45444.989583333336</v>
      </c>
      <c r="B97" s="1">
        <v>21.603383485961803</v>
      </c>
      <c r="C97" s="1">
        <v>43.74978338684083</v>
      </c>
      <c r="D97" s="1" t="b">
        <f>IF(AND(dss_report!$B97&gt;30, dss_report!$C97&lt;40), TRUE, FALSE)</f>
        <v>0</v>
      </c>
      <c r="E97" s="1"/>
      <c r="F97" s="2">
        <f>LET(
 _xlpm.t,dss_report!$B97, _xlpm.lo,18, _xlpm.hi,28,
 IF(AND(_xlpm.t&gt;=_xlpm.lo, _xlpm.t&lt;=_xlpm.hi), 1,
   IF(_xlpm.t&lt;_xlpm.lo, MAX(0, 1 - (_xlpm.lo - _xlpm.t)/(_xlpm.lo*0.5)),
             MAX(0, 1 - (_xlpm.t - _xlpm.hi)/(_xlpm.hi*0.5))
   )
 )
)</f>
        <v>1</v>
      </c>
      <c r="G97" s="2">
        <f>LET(
 _xlpm.h,dss_report!$C97, _xlpm.lo,45, _xlpm.hi,70,
 IF(AND(_xlpm.h&gt;=_xlpm.lo, _xlpm.h&lt;=_xlpm.hi), 1,
   IF(_xlpm.h&lt;_xlpm.lo, MAX(0, 1 - (_xlpm.lo - _xlpm.h)/(_xlpm.lo*0.5)),
             MAX(0, 1 - (_xlpm.h - _xlpm.hi)/(_xlpm.hi*0.5))
   )
 )
)</f>
        <v>0.9444348172</v>
      </c>
      <c r="H97" s="2">
        <f t="shared" si="1"/>
        <v>0.9777739269</v>
      </c>
      <c r="I97" s="2" t="b">
        <f>IF(OR(dss_report!$D97=TRUE, H97&lt;0.3), TRUE, FALSE)</f>
        <v>0</v>
      </c>
      <c r="J97" s="2" t="b">
        <f>IF( OR( AND(dss_report!$B97&gt;31, dss_report!$C97&lt;38), H97&lt;0.25 ), TRUE, FALSE)</f>
        <v>0</v>
      </c>
      <c r="K97" s="2">
        <f t="shared" si="2"/>
        <v>0</v>
      </c>
      <c r="L97" s="2">
        <f t="shared" si="3"/>
        <v>0</v>
      </c>
      <c r="M97" s="2">
        <f t="shared" si="4"/>
        <v>0</v>
      </c>
      <c r="N97" s="2">
        <f t="shared" si="5"/>
        <v>1</v>
      </c>
      <c r="O97" s="2">
        <f t="shared" si="6"/>
        <v>0</v>
      </c>
      <c r="P97" s="2">
        <f t="shared" si="7"/>
        <v>0</v>
      </c>
    </row>
    <row r="98" ht="14.25" customHeight="1">
      <c r="A98" s="4">
        <v>45445.0</v>
      </c>
      <c r="B98" s="1">
        <v>21.37180882219424</v>
      </c>
      <c r="C98" s="1">
        <v>40.289570222700014</v>
      </c>
      <c r="D98" s="1" t="b">
        <f>IF(AND(dss_report!$B98&gt;30, dss_report!$C98&lt;40), TRUE, FALSE)</f>
        <v>0</v>
      </c>
      <c r="E98" s="1"/>
      <c r="F98" s="2">
        <f>LET(
 _xlpm.t,dss_report!$B98, _xlpm.lo,18, _xlpm.hi,28,
 IF(AND(_xlpm.t&gt;=_xlpm.lo, _xlpm.t&lt;=_xlpm.hi), 1,
   IF(_xlpm.t&lt;_xlpm.lo, MAX(0, 1 - (_xlpm.lo - _xlpm.t)/(_xlpm.lo*0.5)),
             MAX(0, 1 - (_xlpm.t - _xlpm.hi)/(_xlpm.hi*0.5))
   )
 )
)</f>
        <v>1</v>
      </c>
      <c r="G98" s="2">
        <f>LET(
 _xlpm.h,dss_report!$C98, _xlpm.lo,45, _xlpm.hi,70,
 IF(AND(_xlpm.h&gt;=_xlpm.lo, _xlpm.h&lt;=_xlpm.hi), 1,
   IF(_xlpm.h&lt;_xlpm.lo, MAX(0, 1 - (_xlpm.lo - _xlpm.h)/(_xlpm.lo*0.5)),
             MAX(0, 1 - (_xlpm.h - _xlpm.hi)/(_xlpm.hi*0.5))
   )
 )
)</f>
        <v>0.7906475655</v>
      </c>
      <c r="H98" s="2">
        <f t="shared" si="1"/>
        <v>0.9162590262</v>
      </c>
      <c r="I98" s="2" t="b">
        <f>IF(OR(dss_report!$D98=TRUE, H98&lt;0.3), TRUE, FALSE)</f>
        <v>0</v>
      </c>
      <c r="J98" s="2" t="b">
        <f>IF( OR( AND(dss_report!$B98&gt;31, dss_report!$C98&lt;38), H98&lt;0.25 ), TRUE, FALSE)</f>
        <v>0</v>
      </c>
      <c r="K98" s="2">
        <f t="shared" si="2"/>
        <v>0</v>
      </c>
      <c r="L98" s="2">
        <f t="shared" si="3"/>
        <v>0</v>
      </c>
      <c r="M98" s="2">
        <f t="shared" si="4"/>
        <v>0</v>
      </c>
      <c r="N98" s="2">
        <f t="shared" si="5"/>
        <v>1</v>
      </c>
      <c r="O98" s="2">
        <f t="shared" si="6"/>
        <v>0</v>
      </c>
      <c r="P98" s="2">
        <f t="shared" si="7"/>
        <v>0</v>
      </c>
    </row>
    <row r="99" ht="14.25" customHeight="1">
      <c r="A99" s="4">
        <v>45445.010416666664</v>
      </c>
      <c r="B99" s="1">
        <v>21.679312026091093</v>
      </c>
      <c r="C99" s="1">
        <v>43.53523019562929</v>
      </c>
      <c r="D99" s="1" t="b">
        <f>IF(AND(dss_report!$B99&gt;30, dss_report!$C99&lt;40), TRUE, FALSE)</f>
        <v>0</v>
      </c>
      <c r="E99" s="1"/>
      <c r="F99" s="2">
        <f>LET(
 _xlpm.t,dss_report!$B99, _xlpm.lo,18, _xlpm.hi,28,
 IF(AND(_xlpm.t&gt;=_xlpm.lo, _xlpm.t&lt;=_xlpm.hi), 1,
   IF(_xlpm.t&lt;_xlpm.lo, MAX(0, 1 - (_xlpm.lo - _xlpm.t)/(_xlpm.lo*0.5)),
             MAX(0, 1 - (_xlpm.t - _xlpm.hi)/(_xlpm.hi*0.5))
   )
 )
)</f>
        <v>1</v>
      </c>
      <c r="G99" s="2">
        <f>LET(
 _xlpm.h,dss_report!$C99, _xlpm.lo,45, _xlpm.hi,70,
 IF(AND(_xlpm.h&gt;=_xlpm.lo, _xlpm.h&lt;=_xlpm.hi), 1,
   IF(_xlpm.h&lt;_xlpm.lo, MAX(0, 1 - (_xlpm.lo - _xlpm.h)/(_xlpm.lo*0.5)),
             MAX(0, 1 - (_xlpm.h - _xlpm.hi)/(_xlpm.hi*0.5))
   )
 )
)</f>
        <v>0.9348991198</v>
      </c>
      <c r="H99" s="2">
        <f t="shared" si="1"/>
        <v>0.9739596479</v>
      </c>
      <c r="I99" s="2" t="b">
        <f>IF(OR(dss_report!$D99=TRUE, H99&lt;0.3), TRUE, FALSE)</f>
        <v>0</v>
      </c>
      <c r="J99" s="2" t="b">
        <f>IF( OR( AND(dss_report!$B99&gt;31, dss_report!$C99&lt;38), H99&lt;0.25 ), TRUE, FALSE)</f>
        <v>0</v>
      </c>
      <c r="K99" s="2">
        <f t="shared" si="2"/>
        <v>0</v>
      </c>
      <c r="L99" s="2">
        <f t="shared" si="3"/>
        <v>0</v>
      </c>
      <c r="M99" s="2">
        <f t="shared" si="4"/>
        <v>0</v>
      </c>
      <c r="N99" s="2">
        <f t="shared" si="5"/>
        <v>1</v>
      </c>
      <c r="O99" s="2">
        <f t="shared" si="6"/>
        <v>0</v>
      </c>
      <c r="P99" s="2">
        <f t="shared" si="7"/>
        <v>0</v>
      </c>
    </row>
    <row r="100" ht="14.25" customHeight="1">
      <c r="A100" s="4">
        <v>45445.020833333336</v>
      </c>
      <c r="B100" s="1">
        <v>21.048020689662824</v>
      </c>
      <c r="C100" s="1">
        <v>43.35982574468402</v>
      </c>
      <c r="D100" s="1" t="b">
        <f>IF(AND(dss_report!$B100&gt;30, dss_report!$C100&lt;40), TRUE, FALSE)</f>
        <v>0</v>
      </c>
      <c r="E100" s="1"/>
      <c r="F100" s="2">
        <f>LET(
 _xlpm.t,dss_report!$B100, _xlpm.lo,18, _xlpm.hi,28,
 IF(AND(_xlpm.t&gt;=_xlpm.lo, _xlpm.t&lt;=_xlpm.hi), 1,
   IF(_xlpm.t&lt;_xlpm.lo, MAX(0, 1 - (_xlpm.lo - _xlpm.t)/(_xlpm.lo*0.5)),
             MAX(0, 1 - (_xlpm.t - _xlpm.hi)/(_xlpm.hi*0.5))
   )
 )
)</f>
        <v>1</v>
      </c>
      <c r="G100" s="2">
        <f>LET(
 _xlpm.h,dss_report!$C100, _xlpm.lo,45, _xlpm.hi,70,
 IF(AND(_xlpm.h&gt;=_xlpm.lo, _xlpm.h&lt;=_xlpm.hi), 1,
   IF(_xlpm.h&lt;_xlpm.lo, MAX(0, 1 - (_xlpm.lo - _xlpm.h)/(_xlpm.lo*0.5)),
             MAX(0, 1 - (_xlpm.h - _xlpm.hi)/(_xlpm.hi*0.5))
   )
 )
)</f>
        <v>0.9271033664</v>
      </c>
      <c r="H100" s="2">
        <f t="shared" si="1"/>
        <v>0.9708413466</v>
      </c>
      <c r="I100" s="2" t="b">
        <f>IF(OR(dss_report!$D100=TRUE, H100&lt;0.3), TRUE, FALSE)</f>
        <v>0</v>
      </c>
      <c r="J100" s="2" t="b">
        <f>IF( OR( AND(dss_report!$B100&gt;31, dss_report!$C100&lt;38), H100&lt;0.25 ), TRUE, FALSE)</f>
        <v>0</v>
      </c>
      <c r="K100" s="2">
        <f t="shared" si="2"/>
        <v>0</v>
      </c>
      <c r="L100" s="2">
        <f t="shared" si="3"/>
        <v>0</v>
      </c>
      <c r="M100" s="2">
        <f t="shared" si="4"/>
        <v>0</v>
      </c>
      <c r="N100" s="2">
        <f t="shared" si="5"/>
        <v>1</v>
      </c>
      <c r="O100" s="2">
        <f t="shared" si="6"/>
        <v>0</v>
      </c>
      <c r="P100" s="2">
        <f t="shared" si="7"/>
        <v>0</v>
      </c>
    </row>
    <row r="101" ht="14.25" customHeight="1">
      <c r="A101" s="4">
        <v>45445.03125</v>
      </c>
      <c r="B101" s="1">
        <v>20.92125947517474</v>
      </c>
      <c r="C101" s="1">
        <v>39.890501323977944</v>
      </c>
      <c r="D101" s="1" t="b">
        <f>IF(AND(dss_report!$B101&gt;30, dss_report!$C101&lt;40), TRUE, FALSE)</f>
        <v>0</v>
      </c>
      <c r="E101" s="1"/>
      <c r="F101" s="2">
        <f>LET(
 _xlpm.t,dss_report!$B101, _xlpm.lo,18, _xlpm.hi,28,
 IF(AND(_xlpm.t&gt;=_xlpm.lo, _xlpm.t&lt;=_xlpm.hi), 1,
   IF(_xlpm.t&lt;_xlpm.lo, MAX(0, 1 - (_xlpm.lo - _xlpm.t)/(_xlpm.lo*0.5)),
             MAX(0, 1 - (_xlpm.t - _xlpm.hi)/(_xlpm.hi*0.5))
   )
 )
)</f>
        <v>1</v>
      </c>
      <c r="G101" s="2">
        <f>LET(
 _xlpm.h,dss_report!$C101, _xlpm.lo,45, _xlpm.hi,70,
 IF(AND(_xlpm.h&gt;=_xlpm.lo, _xlpm.h&lt;=_xlpm.hi), 1,
   IF(_xlpm.h&lt;_xlpm.lo, MAX(0, 1 - (_xlpm.lo - _xlpm.h)/(_xlpm.lo*0.5)),
             MAX(0, 1 - (_xlpm.h - _xlpm.hi)/(_xlpm.hi*0.5))
   )
 )
)</f>
        <v>0.77291117</v>
      </c>
      <c r="H101" s="2">
        <f t="shared" si="1"/>
        <v>0.909164468</v>
      </c>
      <c r="I101" s="2" t="b">
        <f>IF(OR(dss_report!$D101=TRUE, H101&lt;0.3), TRUE, FALSE)</f>
        <v>0</v>
      </c>
      <c r="J101" s="2" t="b">
        <f>IF( OR( AND(dss_report!$B101&gt;31, dss_report!$C101&lt;38), H101&lt;0.25 ), TRUE, FALSE)</f>
        <v>0</v>
      </c>
      <c r="K101" s="2">
        <f t="shared" si="2"/>
        <v>0</v>
      </c>
      <c r="L101" s="2">
        <f t="shared" si="3"/>
        <v>0</v>
      </c>
      <c r="M101" s="2">
        <f t="shared" si="4"/>
        <v>0</v>
      </c>
      <c r="N101" s="2">
        <f t="shared" si="5"/>
        <v>1</v>
      </c>
      <c r="O101" s="2">
        <f t="shared" si="6"/>
        <v>0</v>
      </c>
      <c r="P101" s="2">
        <f t="shared" si="7"/>
        <v>0</v>
      </c>
    </row>
    <row r="102" ht="14.25" customHeight="1">
      <c r="A102" s="4">
        <v>45445.041666666664</v>
      </c>
      <c r="B102" s="1">
        <v>20.63895167771511</v>
      </c>
      <c r="C102" s="1">
        <v>40.20761295907514</v>
      </c>
      <c r="D102" s="1" t="b">
        <f>IF(AND(dss_report!$B102&gt;30, dss_report!$C102&lt;40), TRUE, FALSE)</f>
        <v>0</v>
      </c>
      <c r="E102" s="1"/>
      <c r="F102" s="2">
        <f>LET(
 _xlpm.t,dss_report!$B102, _xlpm.lo,18, _xlpm.hi,28,
 IF(AND(_xlpm.t&gt;=_xlpm.lo, _xlpm.t&lt;=_xlpm.hi), 1,
   IF(_xlpm.t&lt;_xlpm.lo, MAX(0, 1 - (_xlpm.lo - _xlpm.t)/(_xlpm.lo*0.5)),
             MAX(0, 1 - (_xlpm.t - _xlpm.hi)/(_xlpm.hi*0.5))
   )
 )
)</f>
        <v>1</v>
      </c>
      <c r="G102" s="2">
        <f>LET(
 _xlpm.h,dss_report!$C102, _xlpm.lo,45, _xlpm.hi,70,
 IF(AND(_xlpm.h&gt;=_xlpm.lo, _xlpm.h&lt;=_xlpm.hi), 1,
   IF(_xlpm.h&lt;_xlpm.lo, MAX(0, 1 - (_xlpm.lo - _xlpm.h)/(_xlpm.lo*0.5)),
             MAX(0, 1 - (_xlpm.h - _xlpm.hi)/(_xlpm.hi*0.5))
   )
 )
)</f>
        <v>0.7870050204</v>
      </c>
      <c r="H102" s="2">
        <f t="shared" si="1"/>
        <v>0.9148020082</v>
      </c>
      <c r="I102" s="2" t="b">
        <f>IF(OR(dss_report!$D102=TRUE, H102&lt;0.3), TRUE, FALSE)</f>
        <v>0</v>
      </c>
      <c r="J102" s="2" t="b">
        <f>IF( OR( AND(dss_report!$B102&gt;31, dss_report!$C102&lt;38), H102&lt;0.25 ), TRUE, FALSE)</f>
        <v>0</v>
      </c>
      <c r="K102" s="2">
        <f t="shared" si="2"/>
        <v>0</v>
      </c>
      <c r="L102" s="2">
        <f t="shared" si="3"/>
        <v>0</v>
      </c>
      <c r="M102" s="2">
        <f t="shared" si="4"/>
        <v>0</v>
      </c>
      <c r="N102" s="2">
        <f t="shared" si="5"/>
        <v>1</v>
      </c>
      <c r="O102" s="2">
        <f t="shared" si="6"/>
        <v>0</v>
      </c>
      <c r="P102" s="2">
        <f t="shared" si="7"/>
        <v>0</v>
      </c>
    </row>
    <row r="103" ht="14.25" customHeight="1">
      <c r="A103" s="4">
        <v>45445.052083333336</v>
      </c>
      <c r="B103" s="1">
        <v>20.67203320342766</v>
      </c>
      <c r="C103" s="1">
        <v>41.78413625505924</v>
      </c>
      <c r="D103" s="1" t="b">
        <f>IF(AND(dss_report!$B103&gt;30, dss_report!$C103&lt;40), TRUE, FALSE)</f>
        <v>0</v>
      </c>
      <c r="E103" s="1"/>
      <c r="F103" s="2">
        <f>LET(
 _xlpm.t,dss_report!$B103, _xlpm.lo,18, _xlpm.hi,28,
 IF(AND(_xlpm.t&gt;=_xlpm.lo, _xlpm.t&lt;=_xlpm.hi), 1,
   IF(_xlpm.t&lt;_xlpm.lo, MAX(0, 1 - (_xlpm.lo - _xlpm.t)/(_xlpm.lo*0.5)),
             MAX(0, 1 - (_xlpm.t - _xlpm.hi)/(_xlpm.hi*0.5))
   )
 )
)</f>
        <v>1</v>
      </c>
      <c r="G103" s="2">
        <f>LET(
 _xlpm.h,dss_report!$C103, _xlpm.lo,45, _xlpm.hi,70,
 IF(AND(_xlpm.h&gt;=_xlpm.lo, _xlpm.h&lt;=_xlpm.hi), 1,
   IF(_xlpm.h&lt;_xlpm.lo, MAX(0, 1 - (_xlpm.lo - _xlpm.h)/(_xlpm.lo*0.5)),
             MAX(0, 1 - (_xlpm.h - _xlpm.hi)/(_xlpm.hi*0.5))
   )
 )
)</f>
        <v>0.8570727224</v>
      </c>
      <c r="H103" s="2">
        <f t="shared" si="1"/>
        <v>0.942829089</v>
      </c>
      <c r="I103" s="2" t="b">
        <f>IF(OR(dss_report!$D103=TRUE, H103&lt;0.3), TRUE, FALSE)</f>
        <v>0</v>
      </c>
      <c r="J103" s="2" t="b">
        <f>IF( OR( AND(dss_report!$B103&gt;31, dss_report!$C103&lt;38), H103&lt;0.25 ), TRUE, FALSE)</f>
        <v>0</v>
      </c>
      <c r="K103" s="2">
        <f t="shared" si="2"/>
        <v>0</v>
      </c>
      <c r="L103" s="2">
        <f t="shared" si="3"/>
        <v>0</v>
      </c>
      <c r="M103" s="2">
        <f t="shared" si="4"/>
        <v>0</v>
      </c>
      <c r="N103" s="2">
        <f t="shared" si="5"/>
        <v>1</v>
      </c>
      <c r="O103" s="2">
        <f t="shared" si="6"/>
        <v>0</v>
      </c>
      <c r="P103" s="2">
        <f t="shared" si="7"/>
        <v>0</v>
      </c>
    </row>
    <row r="104" ht="14.25" customHeight="1">
      <c r="A104" s="4">
        <v>45445.0625</v>
      </c>
      <c r="B104" s="1">
        <v>21.044609498070525</v>
      </c>
      <c r="C104" s="1">
        <v>42.59658535306622</v>
      </c>
      <c r="D104" s="1" t="b">
        <f>IF(AND(dss_report!$B104&gt;30, dss_report!$C104&lt;40), TRUE, FALSE)</f>
        <v>0</v>
      </c>
      <c r="E104" s="1"/>
      <c r="F104" s="2">
        <f>LET(
 _xlpm.t,dss_report!$B104, _xlpm.lo,18, _xlpm.hi,28,
 IF(AND(_xlpm.t&gt;=_xlpm.lo, _xlpm.t&lt;=_xlpm.hi), 1,
   IF(_xlpm.t&lt;_xlpm.lo, MAX(0, 1 - (_xlpm.lo - _xlpm.t)/(_xlpm.lo*0.5)),
             MAX(0, 1 - (_xlpm.t - _xlpm.hi)/(_xlpm.hi*0.5))
   )
 )
)</f>
        <v>1</v>
      </c>
      <c r="G104" s="2">
        <f>LET(
 _xlpm.h,dss_report!$C104, _xlpm.lo,45, _xlpm.hi,70,
 IF(AND(_xlpm.h&gt;=_xlpm.lo, _xlpm.h&lt;=_xlpm.hi), 1,
   IF(_xlpm.h&lt;_xlpm.lo, MAX(0, 1 - (_xlpm.lo - _xlpm.h)/(_xlpm.lo*0.5)),
             MAX(0, 1 - (_xlpm.h - _xlpm.hi)/(_xlpm.hi*0.5))
   )
 )
)</f>
        <v>0.8931815712</v>
      </c>
      <c r="H104" s="2">
        <f t="shared" si="1"/>
        <v>0.9572726285</v>
      </c>
      <c r="I104" s="2" t="b">
        <f>IF(OR(dss_report!$D104=TRUE, H104&lt;0.3), TRUE, FALSE)</f>
        <v>0</v>
      </c>
      <c r="J104" s="2" t="b">
        <f>IF( OR( AND(dss_report!$B104&gt;31, dss_report!$C104&lt;38), H104&lt;0.25 ), TRUE, FALSE)</f>
        <v>0</v>
      </c>
      <c r="K104" s="2">
        <f t="shared" si="2"/>
        <v>0</v>
      </c>
      <c r="L104" s="2">
        <f t="shared" si="3"/>
        <v>0</v>
      </c>
      <c r="M104" s="2">
        <f t="shared" si="4"/>
        <v>0</v>
      </c>
      <c r="N104" s="2">
        <f t="shared" si="5"/>
        <v>1</v>
      </c>
      <c r="O104" s="2">
        <f t="shared" si="6"/>
        <v>0</v>
      </c>
      <c r="P104" s="2">
        <f t="shared" si="7"/>
        <v>0</v>
      </c>
    </row>
    <row r="105" ht="14.25" customHeight="1">
      <c r="A105" s="4">
        <v>45445.072916666664</v>
      </c>
      <c r="B105" s="1">
        <v>20.567543328289094</v>
      </c>
      <c r="C105" s="1">
        <v>36.1523007041395</v>
      </c>
      <c r="D105" s="1" t="b">
        <f>IF(AND(dss_report!$B105&gt;30, dss_report!$C105&lt;40), TRUE, FALSE)</f>
        <v>0</v>
      </c>
      <c r="E105" s="1"/>
      <c r="F105" s="2">
        <f>LET(
 _xlpm.t,dss_report!$B105, _xlpm.lo,18, _xlpm.hi,28,
 IF(AND(_xlpm.t&gt;=_xlpm.lo, _xlpm.t&lt;=_xlpm.hi), 1,
   IF(_xlpm.t&lt;_xlpm.lo, MAX(0, 1 - (_xlpm.lo - _xlpm.t)/(_xlpm.lo*0.5)),
             MAX(0, 1 - (_xlpm.t - _xlpm.hi)/(_xlpm.hi*0.5))
   )
 )
)</f>
        <v>1</v>
      </c>
      <c r="G105" s="2">
        <f>LET(
 _xlpm.h,dss_report!$C105, _xlpm.lo,45, _xlpm.hi,70,
 IF(AND(_xlpm.h&gt;=_xlpm.lo, _xlpm.h&lt;=_xlpm.hi), 1,
   IF(_xlpm.h&lt;_xlpm.lo, MAX(0, 1 - (_xlpm.lo - _xlpm.h)/(_xlpm.lo*0.5)),
             MAX(0, 1 - (_xlpm.h - _xlpm.hi)/(_xlpm.hi*0.5))
   )
 )
)</f>
        <v>0.6067689202</v>
      </c>
      <c r="H105" s="2">
        <f t="shared" si="1"/>
        <v>0.8427075681</v>
      </c>
      <c r="I105" s="2" t="b">
        <f>IF(OR(dss_report!$D105=TRUE, H105&lt;0.3), TRUE, FALSE)</f>
        <v>0</v>
      </c>
      <c r="J105" s="2" t="b">
        <f>IF( OR( AND(dss_report!$B105&gt;31, dss_report!$C105&lt;38), H105&lt;0.25 ), TRUE, FALSE)</f>
        <v>0</v>
      </c>
      <c r="K105" s="2">
        <f t="shared" si="2"/>
        <v>0</v>
      </c>
      <c r="L105" s="2">
        <f t="shared" si="3"/>
        <v>0</v>
      </c>
      <c r="M105" s="2">
        <f t="shared" si="4"/>
        <v>0</v>
      </c>
      <c r="N105" s="2">
        <f t="shared" si="5"/>
        <v>1</v>
      </c>
      <c r="O105" s="2">
        <f t="shared" si="6"/>
        <v>0</v>
      </c>
      <c r="P105" s="2">
        <f t="shared" si="7"/>
        <v>0</v>
      </c>
    </row>
    <row r="106" ht="14.25" customHeight="1">
      <c r="A106" s="4">
        <v>45445.083333333336</v>
      </c>
      <c r="B106" s="1">
        <v>20.81034553298633</v>
      </c>
      <c r="C106" s="1">
        <v>42.21216985736015</v>
      </c>
      <c r="D106" s="1" t="b">
        <f>IF(AND(dss_report!$B106&gt;30, dss_report!$C106&lt;40), TRUE, FALSE)</f>
        <v>0</v>
      </c>
      <c r="E106" s="1"/>
      <c r="F106" s="2">
        <f>LET(
 _xlpm.t,dss_report!$B106, _xlpm.lo,18, _xlpm.hi,28,
 IF(AND(_xlpm.t&gt;=_xlpm.lo, _xlpm.t&lt;=_xlpm.hi), 1,
   IF(_xlpm.t&lt;_xlpm.lo, MAX(0, 1 - (_xlpm.lo - _xlpm.t)/(_xlpm.lo*0.5)),
             MAX(0, 1 - (_xlpm.t - _xlpm.hi)/(_xlpm.hi*0.5))
   )
 )
)</f>
        <v>1</v>
      </c>
      <c r="G106" s="2">
        <f>LET(
 _xlpm.h,dss_report!$C106, _xlpm.lo,45, _xlpm.hi,70,
 IF(AND(_xlpm.h&gt;=_xlpm.lo, _xlpm.h&lt;=_xlpm.hi), 1,
   IF(_xlpm.h&lt;_xlpm.lo, MAX(0, 1 - (_xlpm.lo - _xlpm.h)/(_xlpm.lo*0.5)),
             MAX(0, 1 - (_xlpm.h - _xlpm.hi)/(_xlpm.hi*0.5))
   )
 )
)</f>
        <v>0.8760964381</v>
      </c>
      <c r="H106" s="2">
        <f t="shared" si="1"/>
        <v>0.9504385752</v>
      </c>
      <c r="I106" s="2" t="b">
        <f>IF(OR(dss_report!$D106=TRUE, H106&lt;0.3), TRUE, FALSE)</f>
        <v>0</v>
      </c>
      <c r="J106" s="2" t="b">
        <f>IF( OR( AND(dss_report!$B106&gt;31, dss_report!$C106&lt;38), H106&lt;0.25 ), TRUE, FALSE)</f>
        <v>0</v>
      </c>
      <c r="K106" s="2">
        <f t="shared" si="2"/>
        <v>0</v>
      </c>
      <c r="L106" s="2">
        <f t="shared" si="3"/>
        <v>0</v>
      </c>
      <c r="M106" s="2">
        <f t="shared" si="4"/>
        <v>0</v>
      </c>
      <c r="N106" s="2">
        <f t="shared" si="5"/>
        <v>1</v>
      </c>
      <c r="O106" s="2">
        <f t="shared" si="6"/>
        <v>0</v>
      </c>
      <c r="P106" s="2">
        <f t="shared" si="7"/>
        <v>0</v>
      </c>
    </row>
    <row r="107" ht="14.25" customHeight="1">
      <c r="A107" s="4">
        <v>45445.09375</v>
      </c>
      <c r="B107" s="1">
        <v>21.982165126973168</v>
      </c>
      <c r="C107" s="1">
        <v>42.57081856499086</v>
      </c>
      <c r="D107" s="1" t="b">
        <f>IF(AND(dss_report!$B107&gt;30, dss_report!$C107&lt;40), TRUE, FALSE)</f>
        <v>0</v>
      </c>
      <c r="E107" s="1"/>
      <c r="F107" s="2">
        <f>LET(
 _xlpm.t,dss_report!$B107, _xlpm.lo,18, _xlpm.hi,28,
 IF(AND(_xlpm.t&gt;=_xlpm.lo, _xlpm.t&lt;=_xlpm.hi), 1,
   IF(_xlpm.t&lt;_xlpm.lo, MAX(0, 1 - (_xlpm.lo - _xlpm.t)/(_xlpm.lo*0.5)),
             MAX(0, 1 - (_xlpm.t - _xlpm.hi)/(_xlpm.hi*0.5))
   )
 )
)</f>
        <v>1</v>
      </c>
      <c r="G107" s="2">
        <f>LET(
 _xlpm.h,dss_report!$C107, _xlpm.lo,45, _xlpm.hi,70,
 IF(AND(_xlpm.h&gt;=_xlpm.lo, _xlpm.h&lt;=_xlpm.hi), 1,
   IF(_xlpm.h&lt;_xlpm.lo, MAX(0, 1 - (_xlpm.lo - _xlpm.h)/(_xlpm.lo*0.5)),
             MAX(0, 1 - (_xlpm.h - _xlpm.hi)/(_xlpm.hi*0.5))
   )
 )
)</f>
        <v>0.8920363807</v>
      </c>
      <c r="H107" s="2">
        <f t="shared" si="1"/>
        <v>0.9568145523</v>
      </c>
      <c r="I107" s="2" t="b">
        <f>IF(OR(dss_report!$D107=TRUE, H107&lt;0.3), TRUE, FALSE)</f>
        <v>0</v>
      </c>
      <c r="J107" s="2" t="b">
        <f>IF( OR( AND(dss_report!$B107&gt;31, dss_report!$C107&lt;38), H107&lt;0.25 ), TRUE, FALSE)</f>
        <v>0</v>
      </c>
      <c r="K107" s="2">
        <f t="shared" si="2"/>
        <v>0</v>
      </c>
      <c r="L107" s="2">
        <f t="shared" si="3"/>
        <v>0</v>
      </c>
      <c r="M107" s="2">
        <f t="shared" si="4"/>
        <v>0</v>
      </c>
      <c r="N107" s="2">
        <f t="shared" si="5"/>
        <v>1</v>
      </c>
      <c r="O107" s="2">
        <f t="shared" si="6"/>
        <v>0</v>
      </c>
      <c r="P107" s="2">
        <f t="shared" si="7"/>
        <v>0</v>
      </c>
    </row>
    <row r="108" ht="14.25" customHeight="1">
      <c r="A108" s="4">
        <v>45445.104166666664</v>
      </c>
      <c r="B108" s="1">
        <v>20.903203954366884</v>
      </c>
      <c r="C108" s="1">
        <v>41.800814025254645</v>
      </c>
      <c r="D108" s="1" t="b">
        <f>IF(AND(dss_report!$B108&gt;30, dss_report!$C108&lt;40), TRUE, FALSE)</f>
        <v>0</v>
      </c>
      <c r="E108" s="1"/>
      <c r="F108" s="2">
        <f>LET(
 _xlpm.t,dss_report!$B108, _xlpm.lo,18, _xlpm.hi,28,
 IF(AND(_xlpm.t&gt;=_xlpm.lo, _xlpm.t&lt;=_xlpm.hi), 1,
   IF(_xlpm.t&lt;_xlpm.lo, MAX(0, 1 - (_xlpm.lo - _xlpm.t)/(_xlpm.lo*0.5)),
             MAX(0, 1 - (_xlpm.t - _xlpm.hi)/(_xlpm.hi*0.5))
   )
 )
)</f>
        <v>1</v>
      </c>
      <c r="G108" s="2">
        <f>LET(
 _xlpm.h,dss_report!$C108, _xlpm.lo,45, _xlpm.hi,70,
 IF(AND(_xlpm.h&gt;=_xlpm.lo, _xlpm.h&lt;=_xlpm.hi), 1,
   IF(_xlpm.h&lt;_xlpm.lo, MAX(0, 1 - (_xlpm.lo - _xlpm.h)/(_xlpm.lo*0.5)),
             MAX(0, 1 - (_xlpm.h - _xlpm.hi)/(_xlpm.hi*0.5))
   )
 )
)</f>
        <v>0.8578139567</v>
      </c>
      <c r="H108" s="2">
        <f t="shared" si="1"/>
        <v>0.9431255827</v>
      </c>
      <c r="I108" s="2" t="b">
        <f>IF(OR(dss_report!$D108=TRUE, H108&lt;0.3), TRUE, FALSE)</f>
        <v>0</v>
      </c>
      <c r="J108" s="2" t="b">
        <f>IF( OR( AND(dss_report!$B108&gt;31, dss_report!$C108&lt;38), H108&lt;0.25 ), TRUE, FALSE)</f>
        <v>0</v>
      </c>
      <c r="K108" s="2">
        <f t="shared" si="2"/>
        <v>0</v>
      </c>
      <c r="L108" s="2">
        <f t="shared" si="3"/>
        <v>0</v>
      </c>
      <c r="M108" s="2">
        <f t="shared" si="4"/>
        <v>0</v>
      </c>
      <c r="N108" s="2">
        <f t="shared" si="5"/>
        <v>1</v>
      </c>
      <c r="O108" s="2">
        <f t="shared" si="6"/>
        <v>0</v>
      </c>
      <c r="P108" s="2">
        <f t="shared" si="7"/>
        <v>0</v>
      </c>
    </row>
    <row r="109" ht="14.25" customHeight="1">
      <c r="A109" s="4">
        <v>45445.114583333336</v>
      </c>
      <c r="B109" s="1">
        <v>19.386364246712372</v>
      </c>
      <c r="C109" s="1">
        <v>42.74129514264461</v>
      </c>
      <c r="D109" s="1" t="b">
        <f>IF(AND(dss_report!$B109&gt;30, dss_report!$C109&lt;40), TRUE, FALSE)</f>
        <v>0</v>
      </c>
      <c r="E109" s="1"/>
      <c r="F109" s="2">
        <f>LET(
 _xlpm.t,dss_report!$B109, _xlpm.lo,18, _xlpm.hi,28,
 IF(AND(_xlpm.t&gt;=_xlpm.lo, _xlpm.t&lt;=_xlpm.hi), 1,
   IF(_xlpm.t&lt;_xlpm.lo, MAX(0, 1 - (_xlpm.lo - _xlpm.t)/(_xlpm.lo*0.5)),
             MAX(0, 1 - (_xlpm.t - _xlpm.hi)/(_xlpm.hi*0.5))
   )
 )
)</f>
        <v>1</v>
      </c>
      <c r="G109" s="2">
        <f>LET(
 _xlpm.h,dss_report!$C109, _xlpm.lo,45, _xlpm.hi,70,
 IF(AND(_xlpm.h&gt;=_xlpm.lo, _xlpm.h&lt;=_xlpm.hi), 1,
   IF(_xlpm.h&lt;_xlpm.lo, MAX(0, 1 - (_xlpm.lo - _xlpm.h)/(_xlpm.lo*0.5)),
             MAX(0, 1 - (_xlpm.h - _xlpm.hi)/(_xlpm.hi*0.5))
   )
 )
)</f>
        <v>0.8996131175</v>
      </c>
      <c r="H109" s="2">
        <f t="shared" si="1"/>
        <v>0.959845247</v>
      </c>
      <c r="I109" s="2" t="b">
        <f>IF(OR(dss_report!$D109=TRUE, H109&lt;0.3), TRUE, FALSE)</f>
        <v>0</v>
      </c>
      <c r="J109" s="2" t="b">
        <f>IF( OR( AND(dss_report!$B109&gt;31, dss_report!$C109&lt;38), H109&lt;0.25 ), TRUE, FALSE)</f>
        <v>0</v>
      </c>
      <c r="K109" s="2">
        <f t="shared" si="2"/>
        <v>0</v>
      </c>
      <c r="L109" s="2">
        <f t="shared" si="3"/>
        <v>0</v>
      </c>
      <c r="M109" s="2">
        <f t="shared" si="4"/>
        <v>0</v>
      </c>
      <c r="N109" s="2">
        <f t="shared" si="5"/>
        <v>1</v>
      </c>
      <c r="O109" s="2">
        <f t="shared" si="6"/>
        <v>0</v>
      </c>
      <c r="P109" s="2">
        <f t="shared" si="7"/>
        <v>0</v>
      </c>
    </row>
    <row r="110" ht="14.25" customHeight="1">
      <c r="A110" s="4">
        <v>45445.125</v>
      </c>
      <c r="B110" s="1">
        <v>21.630343640691873</v>
      </c>
      <c r="C110" s="1">
        <v>43.18034511674336</v>
      </c>
      <c r="D110" s="1" t="b">
        <f>IF(AND(dss_report!$B110&gt;30, dss_report!$C110&lt;40), TRUE, FALSE)</f>
        <v>0</v>
      </c>
      <c r="E110" s="1"/>
      <c r="F110" s="2">
        <f>LET(
 _xlpm.t,dss_report!$B110, _xlpm.lo,18, _xlpm.hi,28,
 IF(AND(_xlpm.t&gt;=_xlpm.lo, _xlpm.t&lt;=_xlpm.hi), 1,
   IF(_xlpm.t&lt;_xlpm.lo, MAX(0, 1 - (_xlpm.lo - _xlpm.t)/(_xlpm.lo*0.5)),
             MAX(0, 1 - (_xlpm.t - _xlpm.hi)/(_xlpm.hi*0.5))
   )
 )
)</f>
        <v>1</v>
      </c>
      <c r="G110" s="2">
        <f>LET(
 _xlpm.h,dss_report!$C110, _xlpm.lo,45, _xlpm.hi,70,
 IF(AND(_xlpm.h&gt;=_xlpm.lo, _xlpm.h&lt;=_xlpm.hi), 1,
   IF(_xlpm.h&lt;_xlpm.lo, MAX(0, 1 - (_xlpm.lo - _xlpm.h)/(_xlpm.lo*0.5)),
             MAX(0, 1 - (_xlpm.h - _xlpm.hi)/(_xlpm.hi*0.5))
   )
 )
)</f>
        <v>0.9191264496</v>
      </c>
      <c r="H110" s="2">
        <f t="shared" si="1"/>
        <v>0.9676505799</v>
      </c>
      <c r="I110" s="2" t="b">
        <f>IF(OR(dss_report!$D110=TRUE, H110&lt;0.3), TRUE, FALSE)</f>
        <v>0</v>
      </c>
      <c r="J110" s="2" t="b">
        <f>IF( OR( AND(dss_report!$B110&gt;31, dss_report!$C110&lt;38), H110&lt;0.25 ), TRUE, FALSE)</f>
        <v>0</v>
      </c>
      <c r="K110" s="2">
        <f t="shared" si="2"/>
        <v>0</v>
      </c>
      <c r="L110" s="2">
        <f t="shared" si="3"/>
        <v>0</v>
      </c>
      <c r="M110" s="2">
        <f t="shared" si="4"/>
        <v>0</v>
      </c>
      <c r="N110" s="2">
        <f t="shared" si="5"/>
        <v>1</v>
      </c>
      <c r="O110" s="2">
        <f t="shared" si="6"/>
        <v>0</v>
      </c>
      <c r="P110" s="2">
        <f t="shared" si="7"/>
        <v>0</v>
      </c>
    </row>
    <row r="111" ht="14.25" customHeight="1">
      <c r="A111" s="4">
        <v>45445.135416666664</v>
      </c>
      <c r="B111" s="1">
        <v>20.593138629199323</v>
      </c>
      <c r="C111" s="1">
        <v>40.313812201485675</v>
      </c>
      <c r="D111" s="1" t="b">
        <f>IF(AND(dss_report!$B111&gt;30, dss_report!$C111&lt;40), TRUE, FALSE)</f>
        <v>0</v>
      </c>
      <c r="E111" s="1"/>
      <c r="F111" s="2">
        <f>LET(
 _xlpm.t,dss_report!$B111, _xlpm.lo,18, _xlpm.hi,28,
 IF(AND(_xlpm.t&gt;=_xlpm.lo, _xlpm.t&lt;=_xlpm.hi), 1,
   IF(_xlpm.t&lt;_xlpm.lo, MAX(0, 1 - (_xlpm.lo - _xlpm.t)/(_xlpm.lo*0.5)),
             MAX(0, 1 - (_xlpm.t - _xlpm.hi)/(_xlpm.hi*0.5))
   )
 )
)</f>
        <v>1</v>
      </c>
      <c r="G111" s="2">
        <f>LET(
 _xlpm.h,dss_report!$C111, _xlpm.lo,45, _xlpm.hi,70,
 IF(AND(_xlpm.h&gt;=_xlpm.lo, _xlpm.h&lt;=_xlpm.hi), 1,
   IF(_xlpm.h&lt;_xlpm.lo, MAX(0, 1 - (_xlpm.lo - _xlpm.h)/(_xlpm.lo*0.5)),
             MAX(0, 1 - (_xlpm.h - _xlpm.hi)/(_xlpm.hi*0.5))
   )
 )
)</f>
        <v>0.7917249867</v>
      </c>
      <c r="H111" s="2">
        <f t="shared" si="1"/>
        <v>0.9166899947</v>
      </c>
      <c r="I111" s="2" t="b">
        <f>IF(OR(dss_report!$D111=TRUE, H111&lt;0.3), TRUE, FALSE)</f>
        <v>0</v>
      </c>
      <c r="J111" s="2" t="b">
        <f>IF( OR( AND(dss_report!$B111&gt;31, dss_report!$C111&lt;38), H111&lt;0.25 ), TRUE, FALSE)</f>
        <v>0</v>
      </c>
      <c r="K111" s="2">
        <f t="shared" si="2"/>
        <v>0</v>
      </c>
      <c r="L111" s="2">
        <f t="shared" si="3"/>
        <v>0</v>
      </c>
      <c r="M111" s="2">
        <f t="shared" si="4"/>
        <v>0</v>
      </c>
      <c r="N111" s="2">
        <f t="shared" si="5"/>
        <v>1</v>
      </c>
      <c r="O111" s="2">
        <f t="shared" si="6"/>
        <v>0</v>
      </c>
      <c r="P111" s="2">
        <f t="shared" si="7"/>
        <v>0</v>
      </c>
    </row>
    <row r="112" ht="14.25" customHeight="1">
      <c r="A112" s="4">
        <v>45445.145833333336</v>
      </c>
      <c r="B112" s="1">
        <v>19.629137296252686</v>
      </c>
      <c r="C112" s="1">
        <v>43.245604554914856</v>
      </c>
      <c r="D112" s="1" t="b">
        <f>IF(AND(dss_report!$B112&gt;30, dss_report!$C112&lt;40), TRUE, FALSE)</f>
        <v>0</v>
      </c>
      <c r="E112" s="1"/>
      <c r="F112" s="2">
        <f>LET(
 _xlpm.t,dss_report!$B112, _xlpm.lo,18, _xlpm.hi,28,
 IF(AND(_xlpm.t&gt;=_xlpm.lo, _xlpm.t&lt;=_xlpm.hi), 1,
   IF(_xlpm.t&lt;_xlpm.lo, MAX(0, 1 - (_xlpm.lo - _xlpm.t)/(_xlpm.lo*0.5)),
             MAX(0, 1 - (_xlpm.t - _xlpm.hi)/(_xlpm.hi*0.5))
   )
 )
)</f>
        <v>1</v>
      </c>
      <c r="G112" s="2">
        <f>LET(
 _xlpm.h,dss_report!$C112, _xlpm.lo,45, _xlpm.hi,70,
 IF(AND(_xlpm.h&gt;=_xlpm.lo, _xlpm.h&lt;=_xlpm.hi), 1,
   IF(_xlpm.h&lt;_xlpm.lo, MAX(0, 1 - (_xlpm.lo - _xlpm.h)/(_xlpm.lo*0.5)),
             MAX(0, 1 - (_xlpm.h - _xlpm.hi)/(_xlpm.hi*0.5))
   )
 )
)</f>
        <v>0.9220268691</v>
      </c>
      <c r="H112" s="2">
        <f t="shared" si="1"/>
        <v>0.9688107476</v>
      </c>
      <c r="I112" s="2" t="b">
        <f>IF(OR(dss_report!$D112=TRUE, H112&lt;0.3), TRUE, FALSE)</f>
        <v>0</v>
      </c>
      <c r="J112" s="2" t="b">
        <f>IF( OR( AND(dss_report!$B112&gt;31, dss_report!$C112&lt;38), H112&lt;0.25 ), TRUE, FALSE)</f>
        <v>0</v>
      </c>
      <c r="K112" s="2">
        <f t="shared" si="2"/>
        <v>0</v>
      </c>
      <c r="L112" s="2">
        <f t="shared" si="3"/>
        <v>0</v>
      </c>
      <c r="M112" s="2">
        <f t="shared" si="4"/>
        <v>0</v>
      </c>
      <c r="N112" s="2">
        <f t="shared" si="5"/>
        <v>1</v>
      </c>
      <c r="O112" s="2">
        <f t="shared" si="6"/>
        <v>0</v>
      </c>
      <c r="P112" s="2">
        <f t="shared" si="7"/>
        <v>0</v>
      </c>
    </row>
    <row r="113" ht="14.25" customHeight="1">
      <c r="A113" s="4">
        <v>45445.15625</v>
      </c>
      <c r="B113" s="1">
        <v>20.86726825461729</v>
      </c>
      <c r="C113" s="1">
        <v>41.99431054635816</v>
      </c>
      <c r="D113" s="1" t="b">
        <f>IF(AND(dss_report!$B113&gt;30, dss_report!$C113&lt;40), TRUE, FALSE)</f>
        <v>0</v>
      </c>
      <c r="E113" s="1"/>
      <c r="F113" s="2">
        <f>LET(
 _xlpm.t,dss_report!$B113, _xlpm.lo,18, _xlpm.hi,28,
 IF(AND(_xlpm.t&gt;=_xlpm.lo, _xlpm.t&lt;=_xlpm.hi), 1,
   IF(_xlpm.t&lt;_xlpm.lo, MAX(0, 1 - (_xlpm.lo - _xlpm.t)/(_xlpm.lo*0.5)),
             MAX(0, 1 - (_xlpm.t - _xlpm.hi)/(_xlpm.hi*0.5))
   )
 )
)</f>
        <v>1</v>
      </c>
      <c r="G113" s="2">
        <f>LET(
 _xlpm.h,dss_report!$C113, _xlpm.lo,45, _xlpm.hi,70,
 IF(AND(_xlpm.h&gt;=_xlpm.lo, _xlpm.h&lt;=_xlpm.hi), 1,
   IF(_xlpm.h&lt;_xlpm.lo, MAX(0, 1 - (_xlpm.lo - _xlpm.h)/(_xlpm.lo*0.5)),
             MAX(0, 1 - (_xlpm.h - _xlpm.hi)/(_xlpm.hi*0.5))
   )
 )
)</f>
        <v>0.8664138021</v>
      </c>
      <c r="H113" s="2">
        <f t="shared" si="1"/>
        <v>0.9465655208</v>
      </c>
      <c r="I113" s="2" t="b">
        <f>IF(OR(dss_report!$D113=TRUE, H113&lt;0.3), TRUE, FALSE)</f>
        <v>0</v>
      </c>
      <c r="J113" s="2" t="b">
        <f>IF( OR( AND(dss_report!$B113&gt;31, dss_report!$C113&lt;38), H113&lt;0.25 ), TRUE, FALSE)</f>
        <v>0</v>
      </c>
      <c r="K113" s="2">
        <f t="shared" si="2"/>
        <v>0</v>
      </c>
      <c r="L113" s="2">
        <f t="shared" si="3"/>
        <v>0</v>
      </c>
      <c r="M113" s="2">
        <f t="shared" si="4"/>
        <v>0</v>
      </c>
      <c r="N113" s="2">
        <f t="shared" si="5"/>
        <v>1</v>
      </c>
      <c r="O113" s="2">
        <f t="shared" si="6"/>
        <v>0</v>
      </c>
      <c r="P113" s="2">
        <f t="shared" si="7"/>
        <v>0</v>
      </c>
    </row>
    <row r="114" ht="14.25" customHeight="1">
      <c r="A114" s="4">
        <v>45445.166666666664</v>
      </c>
      <c r="B114" s="1">
        <v>20.19473892011886</v>
      </c>
      <c r="C114" s="1">
        <v>40.69628990470267</v>
      </c>
      <c r="D114" s="1" t="b">
        <f>IF(AND(dss_report!$B114&gt;30, dss_report!$C114&lt;40), TRUE, FALSE)</f>
        <v>0</v>
      </c>
      <c r="E114" s="1"/>
      <c r="F114" s="2">
        <f>LET(
 _xlpm.t,dss_report!$B114, _xlpm.lo,18, _xlpm.hi,28,
 IF(AND(_xlpm.t&gt;=_xlpm.lo, _xlpm.t&lt;=_xlpm.hi), 1,
   IF(_xlpm.t&lt;_xlpm.lo, MAX(0, 1 - (_xlpm.lo - _xlpm.t)/(_xlpm.lo*0.5)),
             MAX(0, 1 - (_xlpm.t - _xlpm.hi)/(_xlpm.hi*0.5))
   )
 )
)</f>
        <v>1</v>
      </c>
      <c r="G114" s="2">
        <f>LET(
 _xlpm.h,dss_report!$C114, _xlpm.lo,45, _xlpm.hi,70,
 IF(AND(_xlpm.h&gt;=_xlpm.lo, _xlpm.h&lt;=_xlpm.hi), 1,
   IF(_xlpm.h&lt;_xlpm.lo, MAX(0, 1 - (_xlpm.lo - _xlpm.h)/(_xlpm.lo*0.5)),
             MAX(0, 1 - (_xlpm.h - _xlpm.hi)/(_xlpm.hi*0.5))
   )
 )
)</f>
        <v>0.8087239958</v>
      </c>
      <c r="H114" s="2">
        <f t="shared" si="1"/>
        <v>0.9234895983</v>
      </c>
      <c r="I114" s="2" t="b">
        <f>IF(OR(dss_report!$D114=TRUE, H114&lt;0.3), TRUE, FALSE)</f>
        <v>0</v>
      </c>
      <c r="J114" s="2" t="b">
        <f>IF( OR( AND(dss_report!$B114&gt;31, dss_report!$C114&lt;38), H114&lt;0.25 ), TRUE, FALSE)</f>
        <v>0</v>
      </c>
      <c r="K114" s="2">
        <f t="shared" si="2"/>
        <v>0</v>
      </c>
      <c r="L114" s="2">
        <f t="shared" si="3"/>
        <v>0</v>
      </c>
      <c r="M114" s="2">
        <f t="shared" si="4"/>
        <v>0</v>
      </c>
      <c r="N114" s="2">
        <f t="shared" si="5"/>
        <v>1</v>
      </c>
      <c r="O114" s="2">
        <f t="shared" si="6"/>
        <v>0</v>
      </c>
      <c r="P114" s="2">
        <f t="shared" si="7"/>
        <v>0</v>
      </c>
    </row>
    <row r="115" ht="14.25" customHeight="1">
      <c r="A115" s="4">
        <v>45445.177083333336</v>
      </c>
      <c r="B115" s="1">
        <v>19.707689060338915</v>
      </c>
      <c r="C115" s="1">
        <v>43.10480297681136</v>
      </c>
      <c r="D115" s="1" t="b">
        <f>IF(AND(dss_report!$B115&gt;30, dss_report!$C115&lt;40), TRUE, FALSE)</f>
        <v>0</v>
      </c>
      <c r="E115" s="1"/>
      <c r="F115" s="2">
        <f>LET(
 _xlpm.t,dss_report!$B115, _xlpm.lo,18, _xlpm.hi,28,
 IF(AND(_xlpm.t&gt;=_xlpm.lo, _xlpm.t&lt;=_xlpm.hi), 1,
   IF(_xlpm.t&lt;_xlpm.lo, MAX(0, 1 - (_xlpm.lo - _xlpm.t)/(_xlpm.lo*0.5)),
             MAX(0, 1 - (_xlpm.t - _xlpm.hi)/(_xlpm.hi*0.5))
   )
 )
)</f>
        <v>1</v>
      </c>
      <c r="G115" s="2">
        <f>LET(
 _xlpm.h,dss_report!$C115, _xlpm.lo,45, _xlpm.hi,70,
 IF(AND(_xlpm.h&gt;=_xlpm.lo, _xlpm.h&lt;=_xlpm.hi), 1,
   IF(_xlpm.h&lt;_xlpm.lo, MAX(0, 1 - (_xlpm.lo - _xlpm.h)/(_xlpm.lo*0.5)),
             MAX(0, 1 - (_xlpm.h - _xlpm.hi)/(_xlpm.hi*0.5))
   )
 )
)</f>
        <v>0.9157690212</v>
      </c>
      <c r="H115" s="2">
        <f t="shared" si="1"/>
        <v>0.9663076085</v>
      </c>
      <c r="I115" s="2" t="b">
        <f>IF(OR(dss_report!$D115=TRUE, H115&lt;0.3), TRUE, FALSE)</f>
        <v>0</v>
      </c>
      <c r="J115" s="2" t="b">
        <f>IF( OR( AND(dss_report!$B115&gt;31, dss_report!$C115&lt;38), H115&lt;0.25 ), TRUE, FALSE)</f>
        <v>0</v>
      </c>
      <c r="K115" s="2">
        <f t="shared" si="2"/>
        <v>0</v>
      </c>
      <c r="L115" s="2">
        <f t="shared" si="3"/>
        <v>0</v>
      </c>
      <c r="M115" s="2">
        <f t="shared" si="4"/>
        <v>0</v>
      </c>
      <c r="N115" s="2">
        <f t="shared" si="5"/>
        <v>1</v>
      </c>
      <c r="O115" s="2">
        <f t="shared" si="6"/>
        <v>0</v>
      </c>
      <c r="P115" s="2">
        <f t="shared" si="7"/>
        <v>0</v>
      </c>
    </row>
    <row r="116" ht="14.25" customHeight="1">
      <c r="A116" s="4">
        <v>45445.1875</v>
      </c>
      <c r="B116" s="1">
        <v>19.656832103469174</v>
      </c>
      <c r="C116" s="1">
        <v>45.76753753629124</v>
      </c>
      <c r="D116" s="1" t="b">
        <f>IF(AND(dss_report!$B116&gt;30, dss_report!$C116&lt;40), TRUE, FALSE)</f>
        <v>0</v>
      </c>
      <c r="E116" s="1"/>
      <c r="F116" s="2">
        <f>LET(
 _xlpm.t,dss_report!$B116, _xlpm.lo,18, _xlpm.hi,28,
 IF(AND(_xlpm.t&gt;=_xlpm.lo, _xlpm.t&lt;=_xlpm.hi), 1,
   IF(_xlpm.t&lt;_xlpm.lo, MAX(0, 1 - (_xlpm.lo - _xlpm.t)/(_xlpm.lo*0.5)),
             MAX(0, 1 - (_xlpm.t - _xlpm.hi)/(_xlpm.hi*0.5))
   )
 )
)</f>
        <v>1</v>
      </c>
      <c r="G116" s="2">
        <f>LET(
 _xlpm.h,dss_report!$C116, _xlpm.lo,45, _xlpm.hi,70,
 IF(AND(_xlpm.h&gt;=_xlpm.lo, _xlpm.h&lt;=_xlpm.hi), 1,
   IF(_xlpm.h&lt;_xlpm.lo, MAX(0, 1 - (_xlpm.lo - _xlpm.h)/(_xlpm.lo*0.5)),
             MAX(0, 1 - (_xlpm.h - _xlpm.hi)/(_xlpm.hi*0.5))
   )
 )
)</f>
        <v>1</v>
      </c>
      <c r="H116" s="2">
        <f t="shared" si="1"/>
        <v>1</v>
      </c>
      <c r="I116" s="2" t="b">
        <f>IF(OR(dss_report!$D116=TRUE, H116&lt;0.3), TRUE, FALSE)</f>
        <v>0</v>
      </c>
      <c r="J116" s="2" t="b">
        <f>IF( OR( AND(dss_report!$B116&gt;31, dss_report!$C116&lt;38), H116&lt;0.25 ), TRUE, FALSE)</f>
        <v>0</v>
      </c>
      <c r="K116" s="2">
        <f t="shared" si="2"/>
        <v>0</v>
      </c>
      <c r="L116" s="2">
        <f t="shared" si="3"/>
        <v>0</v>
      </c>
      <c r="M116" s="2">
        <f t="shared" si="4"/>
        <v>0</v>
      </c>
      <c r="N116" s="2">
        <f t="shared" si="5"/>
        <v>1</v>
      </c>
      <c r="O116" s="2">
        <f t="shared" si="6"/>
        <v>0</v>
      </c>
      <c r="P116" s="2">
        <f t="shared" si="7"/>
        <v>0</v>
      </c>
    </row>
    <row r="117" ht="14.25" customHeight="1">
      <c r="A117" s="4">
        <v>45445.197916666664</v>
      </c>
      <c r="B117" s="1">
        <v>19.372875663199068</v>
      </c>
      <c r="C117" s="1">
        <v>39.98489443453093</v>
      </c>
      <c r="D117" s="1" t="b">
        <f>IF(AND(dss_report!$B117&gt;30, dss_report!$C117&lt;40), TRUE, FALSE)</f>
        <v>0</v>
      </c>
      <c r="E117" s="1"/>
      <c r="F117" s="2">
        <f>LET(
 _xlpm.t,dss_report!$B117, _xlpm.lo,18, _xlpm.hi,28,
 IF(AND(_xlpm.t&gt;=_xlpm.lo, _xlpm.t&lt;=_xlpm.hi), 1,
   IF(_xlpm.t&lt;_xlpm.lo, MAX(0, 1 - (_xlpm.lo - _xlpm.t)/(_xlpm.lo*0.5)),
             MAX(0, 1 - (_xlpm.t - _xlpm.hi)/(_xlpm.hi*0.5))
   )
 )
)</f>
        <v>1</v>
      </c>
      <c r="G117" s="2">
        <f>LET(
 _xlpm.h,dss_report!$C117, _xlpm.lo,45, _xlpm.hi,70,
 IF(AND(_xlpm.h&gt;=_xlpm.lo, _xlpm.h&lt;=_xlpm.hi), 1,
   IF(_xlpm.h&lt;_xlpm.lo, MAX(0, 1 - (_xlpm.lo - _xlpm.h)/(_xlpm.lo*0.5)),
             MAX(0, 1 - (_xlpm.h - _xlpm.hi)/(_xlpm.hi*0.5))
   )
 )
)</f>
        <v>0.7771064193</v>
      </c>
      <c r="H117" s="2">
        <f t="shared" si="1"/>
        <v>0.9108425677</v>
      </c>
      <c r="I117" s="2" t="b">
        <f>IF(OR(dss_report!$D117=TRUE, H117&lt;0.3), TRUE, FALSE)</f>
        <v>0</v>
      </c>
      <c r="J117" s="2" t="b">
        <f>IF( OR( AND(dss_report!$B117&gt;31, dss_report!$C117&lt;38), H117&lt;0.25 ), TRUE, FALSE)</f>
        <v>0</v>
      </c>
      <c r="K117" s="2">
        <f t="shared" si="2"/>
        <v>0</v>
      </c>
      <c r="L117" s="2">
        <f t="shared" si="3"/>
        <v>0</v>
      </c>
      <c r="M117" s="2">
        <f t="shared" si="4"/>
        <v>0</v>
      </c>
      <c r="N117" s="2">
        <f t="shared" si="5"/>
        <v>1</v>
      </c>
      <c r="O117" s="2">
        <f t="shared" si="6"/>
        <v>0</v>
      </c>
      <c r="P117" s="2">
        <f t="shared" si="7"/>
        <v>0</v>
      </c>
    </row>
    <row r="118" ht="14.25" customHeight="1">
      <c r="A118" s="4">
        <v>45445.208333333336</v>
      </c>
      <c r="B118" s="1">
        <v>20.076043623020198</v>
      </c>
      <c r="C118" s="1">
        <v>39.71881923625055</v>
      </c>
      <c r="D118" s="1" t="b">
        <f>IF(AND(dss_report!$B118&gt;30, dss_report!$C118&lt;40), TRUE, FALSE)</f>
        <v>0</v>
      </c>
      <c r="E118" s="1"/>
      <c r="F118" s="2">
        <f>LET(
 _xlpm.t,dss_report!$B118, _xlpm.lo,18, _xlpm.hi,28,
 IF(AND(_xlpm.t&gt;=_xlpm.lo, _xlpm.t&lt;=_xlpm.hi), 1,
   IF(_xlpm.t&lt;_xlpm.lo, MAX(0, 1 - (_xlpm.lo - _xlpm.t)/(_xlpm.lo*0.5)),
             MAX(0, 1 - (_xlpm.t - _xlpm.hi)/(_xlpm.hi*0.5))
   )
 )
)</f>
        <v>1</v>
      </c>
      <c r="G118" s="2">
        <f>LET(
 _xlpm.h,dss_report!$C118, _xlpm.lo,45, _xlpm.hi,70,
 IF(AND(_xlpm.h&gt;=_xlpm.lo, _xlpm.h&lt;=_xlpm.hi), 1,
   IF(_xlpm.h&lt;_xlpm.lo, MAX(0, 1 - (_xlpm.lo - _xlpm.h)/(_xlpm.lo*0.5)),
             MAX(0, 1 - (_xlpm.h - _xlpm.hi)/(_xlpm.hi*0.5))
   )
 )
)</f>
        <v>0.7652808549</v>
      </c>
      <c r="H118" s="2">
        <f t="shared" si="1"/>
        <v>0.906112342</v>
      </c>
      <c r="I118" s="2" t="b">
        <f>IF(OR(dss_report!$D118=TRUE, H118&lt;0.3), TRUE, FALSE)</f>
        <v>0</v>
      </c>
      <c r="J118" s="2" t="b">
        <f>IF( OR( AND(dss_report!$B118&gt;31, dss_report!$C118&lt;38), H118&lt;0.25 ), TRUE, FALSE)</f>
        <v>0</v>
      </c>
      <c r="K118" s="2">
        <f t="shared" si="2"/>
        <v>0</v>
      </c>
      <c r="L118" s="2">
        <f t="shared" si="3"/>
        <v>0</v>
      </c>
      <c r="M118" s="2">
        <f t="shared" si="4"/>
        <v>0</v>
      </c>
      <c r="N118" s="2">
        <f t="shared" si="5"/>
        <v>1</v>
      </c>
      <c r="O118" s="2">
        <f t="shared" si="6"/>
        <v>0</v>
      </c>
      <c r="P118" s="2">
        <f t="shared" si="7"/>
        <v>0</v>
      </c>
    </row>
    <row r="119" ht="14.25" customHeight="1">
      <c r="A119" s="4">
        <v>45445.21875</v>
      </c>
      <c r="B119" s="1">
        <v>20.77074745402743</v>
      </c>
      <c r="C119" s="1">
        <v>39.84553822273075</v>
      </c>
      <c r="D119" s="1" t="b">
        <f>IF(AND(dss_report!$B119&gt;30, dss_report!$C119&lt;40), TRUE, FALSE)</f>
        <v>0</v>
      </c>
      <c r="E119" s="1"/>
      <c r="F119" s="2">
        <f>LET(
 _xlpm.t,dss_report!$B119, _xlpm.lo,18, _xlpm.hi,28,
 IF(AND(_xlpm.t&gt;=_xlpm.lo, _xlpm.t&lt;=_xlpm.hi), 1,
   IF(_xlpm.t&lt;_xlpm.lo, MAX(0, 1 - (_xlpm.lo - _xlpm.t)/(_xlpm.lo*0.5)),
             MAX(0, 1 - (_xlpm.t - _xlpm.hi)/(_xlpm.hi*0.5))
   )
 )
)</f>
        <v>1</v>
      </c>
      <c r="G119" s="2">
        <f>LET(
 _xlpm.h,dss_report!$C119, _xlpm.lo,45, _xlpm.hi,70,
 IF(AND(_xlpm.h&gt;=_xlpm.lo, _xlpm.h&lt;=_xlpm.hi), 1,
   IF(_xlpm.h&lt;_xlpm.lo, MAX(0, 1 - (_xlpm.lo - _xlpm.h)/(_xlpm.lo*0.5)),
             MAX(0, 1 - (_xlpm.h - _xlpm.hi)/(_xlpm.hi*0.5))
   )
 )
)</f>
        <v>0.7709128099</v>
      </c>
      <c r="H119" s="2">
        <f t="shared" si="1"/>
        <v>0.908365124</v>
      </c>
      <c r="I119" s="2" t="b">
        <f>IF(OR(dss_report!$D119=TRUE, H119&lt;0.3), TRUE, FALSE)</f>
        <v>0</v>
      </c>
      <c r="J119" s="2" t="b">
        <f>IF( OR( AND(dss_report!$B119&gt;31, dss_report!$C119&lt;38), H119&lt;0.25 ), TRUE, FALSE)</f>
        <v>0</v>
      </c>
      <c r="K119" s="2">
        <f t="shared" si="2"/>
        <v>0</v>
      </c>
      <c r="L119" s="2">
        <f t="shared" si="3"/>
        <v>0</v>
      </c>
      <c r="M119" s="2">
        <f t="shared" si="4"/>
        <v>0</v>
      </c>
      <c r="N119" s="2">
        <f t="shared" si="5"/>
        <v>1</v>
      </c>
      <c r="O119" s="2">
        <f t="shared" si="6"/>
        <v>0</v>
      </c>
      <c r="P119" s="2">
        <f t="shared" si="7"/>
        <v>0</v>
      </c>
    </row>
    <row r="120" ht="14.25" customHeight="1">
      <c r="A120" s="4">
        <v>45445.229166666664</v>
      </c>
      <c r="B120" s="1">
        <v>19.781418409189623</v>
      </c>
      <c r="C120" s="1">
        <v>47.24011767570494</v>
      </c>
      <c r="D120" s="1" t="b">
        <f>IF(AND(dss_report!$B120&gt;30, dss_report!$C120&lt;40), TRUE, FALSE)</f>
        <v>0</v>
      </c>
      <c r="E120" s="1"/>
      <c r="F120" s="2">
        <f>LET(
 _xlpm.t,dss_report!$B120, _xlpm.lo,18, _xlpm.hi,28,
 IF(AND(_xlpm.t&gt;=_xlpm.lo, _xlpm.t&lt;=_xlpm.hi), 1,
   IF(_xlpm.t&lt;_xlpm.lo, MAX(0, 1 - (_xlpm.lo - _xlpm.t)/(_xlpm.lo*0.5)),
             MAX(0, 1 - (_xlpm.t - _xlpm.hi)/(_xlpm.hi*0.5))
   )
 )
)</f>
        <v>1</v>
      </c>
      <c r="G120" s="2">
        <f>LET(
 _xlpm.h,dss_report!$C120, _xlpm.lo,45, _xlpm.hi,70,
 IF(AND(_xlpm.h&gt;=_xlpm.lo, _xlpm.h&lt;=_xlpm.hi), 1,
   IF(_xlpm.h&lt;_xlpm.lo, MAX(0, 1 - (_xlpm.lo - _xlpm.h)/(_xlpm.lo*0.5)),
             MAX(0, 1 - (_xlpm.h - _xlpm.hi)/(_xlpm.hi*0.5))
   )
 )
)</f>
        <v>1</v>
      </c>
      <c r="H120" s="2">
        <f t="shared" si="1"/>
        <v>1</v>
      </c>
      <c r="I120" s="2" t="b">
        <f>IF(OR(dss_report!$D120=TRUE, H120&lt;0.3), TRUE, FALSE)</f>
        <v>0</v>
      </c>
      <c r="J120" s="2" t="b">
        <f>IF( OR( AND(dss_report!$B120&gt;31, dss_report!$C120&lt;38), H120&lt;0.25 ), TRUE, FALSE)</f>
        <v>0</v>
      </c>
      <c r="K120" s="2">
        <f t="shared" si="2"/>
        <v>0</v>
      </c>
      <c r="L120" s="2">
        <f t="shared" si="3"/>
        <v>0</v>
      </c>
      <c r="M120" s="2">
        <f t="shared" si="4"/>
        <v>0</v>
      </c>
      <c r="N120" s="2">
        <f t="shared" si="5"/>
        <v>1</v>
      </c>
      <c r="O120" s="2">
        <f t="shared" si="6"/>
        <v>0</v>
      </c>
      <c r="P120" s="2">
        <f t="shared" si="7"/>
        <v>0</v>
      </c>
    </row>
    <row r="121" ht="14.25" customHeight="1">
      <c r="A121" s="4">
        <v>45445.239583333336</v>
      </c>
      <c r="B121" s="1">
        <v>20.296095659439644</v>
      </c>
      <c r="C121" s="1">
        <v>42.92260998079421</v>
      </c>
      <c r="D121" s="1" t="b">
        <f>IF(AND(dss_report!$B121&gt;30, dss_report!$C121&lt;40), TRUE, FALSE)</f>
        <v>0</v>
      </c>
      <c r="E121" s="1"/>
      <c r="F121" s="2">
        <f>LET(
 _xlpm.t,dss_report!$B121, _xlpm.lo,18, _xlpm.hi,28,
 IF(AND(_xlpm.t&gt;=_xlpm.lo, _xlpm.t&lt;=_xlpm.hi), 1,
   IF(_xlpm.t&lt;_xlpm.lo, MAX(0, 1 - (_xlpm.lo - _xlpm.t)/(_xlpm.lo*0.5)),
             MAX(0, 1 - (_xlpm.t - _xlpm.hi)/(_xlpm.hi*0.5))
   )
 )
)</f>
        <v>1</v>
      </c>
      <c r="G121" s="2">
        <f>LET(
 _xlpm.h,dss_report!$C121, _xlpm.lo,45, _xlpm.hi,70,
 IF(AND(_xlpm.h&gt;=_xlpm.lo, _xlpm.h&lt;=_xlpm.hi), 1,
   IF(_xlpm.h&lt;_xlpm.lo, MAX(0, 1 - (_xlpm.lo - _xlpm.h)/(_xlpm.lo*0.5)),
             MAX(0, 1 - (_xlpm.h - _xlpm.hi)/(_xlpm.hi*0.5))
   )
 )
)</f>
        <v>0.9076715547</v>
      </c>
      <c r="H121" s="2">
        <f t="shared" si="1"/>
        <v>0.9630686219</v>
      </c>
      <c r="I121" s="2" t="b">
        <f>IF(OR(dss_report!$D121=TRUE, H121&lt;0.3), TRUE, FALSE)</f>
        <v>0</v>
      </c>
      <c r="J121" s="2" t="b">
        <f>IF( OR( AND(dss_report!$B121&gt;31, dss_report!$C121&lt;38), H121&lt;0.25 ), TRUE, FALSE)</f>
        <v>0</v>
      </c>
      <c r="K121" s="2">
        <f t="shared" si="2"/>
        <v>0</v>
      </c>
      <c r="L121" s="2">
        <f t="shared" si="3"/>
        <v>0</v>
      </c>
      <c r="M121" s="2">
        <f t="shared" si="4"/>
        <v>0</v>
      </c>
      <c r="N121" s="2">
        <f t="shared" si="5"/>
        <v>1</v>
      </c>
      <c r="O121" s="2">
        <f t="shared" si="6"/>
        <v>0</v>
      </c>
      <c r="P121" s="2">
        <f t="shared" si="7"/>
        <v>0</v>
      </c>
    </row>
    <row r="122" ht="14.25" customHeight="1">
      <c r="A122" s="4">
        <v>45445.25</v>
      </c>
      <c r="B122" s="1">
        <v>21.313231210158875</v>
      </c>
      <c r="C122" s="1">
        <v>43.45360780200394</v>
      </c>
      <c r="D122" s="1" t="b">
        <f>IF(AND(dss_report!$B122&gt;30, dss_report!$C122&lt;40), TRUE, FALSE)</f>
        <v>0</v>
      </c>
      <c r="E122" s="1"/>
      <c r="F122" s="2">
        <f>LET(
 _xlpm.t,dss_report!$B122, _xlpm.lo,18, _xlpm.hi,28,
 IF(AND(_xlpm.t&gt;=_xlpm.lo, _xlpm.t&lt;=_xlpm.hi), 1,
   IF(_xlpm.t&lt;_xlpm.lo, MAX(0, 1 - (_xlpm.lo - _xlpm.t)/(_xlpm.lo*0.5)),
             MAX(0, 1 - (_xlpm.t - _xlpm.hi)/(_xlpm.hi*0.5))
   )
 )
)</f>
        <v>1</v>
      </c>
      <c r="G122" s="2">
        <f>LET(
 _xlpm.h,dss_report!$C122, _xlpm.lo,45, _xlpm.hi,70,
 IF(AND(_xlpm.h&gt;=_xlpm.lo, _xlpm.h&lt;=_xlpm.hi), 1,
   IF(_xlpm.h&lt;_xlpm.lo, MAX(0, 1 - (_xlpm.lo - _xlpm.h)/(_xlpm.lo*0.5)),
             MAX(0, 1 - (_xlpm.h - _xlpm.hi)/(_xlpm.hi*0.5))
   )
 )
)</f>
        <v>0.9312714579</v>
      </c>
      <c r="H122" s="2">
        <f t="shared" si="1"/>
        <v>0.9725085831</v>
      </c>
      <c r="I122" s="2" t="b">
        <f>IF(OR(dss_report!$D122=TRUE, H122&lt;0.3), TRUE, FALSE)</f>
        <v>0</v>
      </c>
      <c r="J122" s="2" t="b">
        <f>IF( OR( AND(dss_report!$B122&gt;31, dss_report!$C122&lt;38), H122&lt;0.25 ), TRUE, FALSE)</f>
        <v>0</v>
      </c>
      <c r="K122" s="2">
        <f t="shared" si="2"/>
        <v>0</v>
      </c>
      <c r="L122" s="2">
        <f t="shared" si="3"/>
        <v>0</v>
      </c>
      <c r="M122" s="2">
        <f t="shared" si="4"/>
        <v>0</v>
      </c>
      <c r="N122" s="2">
        <f t="shared" si="5"/>
        <v>1</v>
      </c>
      <c r="O122" s="2">
        <f t="shared" si="6"/>
        <v>0</v>
      </c>
      <c r="P122" s="2">
        <f t="shared" si="7"/>
        <v>0</v>
      </c>
    </row>
    <row r="123" ht="14.25" customHeight="1">
      <c r="A123" s="4">
        <v>45445.260416666664</v>
      </c>
      <c r="B123" s="1">
        <v>19.155023958390068</v>
      </c>
      <c r="C123" s="1">
        <v>42.15260862093735</v>
      </c>
      <c r="D123" s="1" t="b">
        <f>IF(AND(dss_report!$B123&gt;30, dss_report!$C123&lt;40), TRUE, FALSE)</f>
        <v>0</v>
      </c>
      <c r="E123" s="1"/>
      <c r="F123" s="2">
        <f>LET(
 _xlpm.t,dss_report!$B123, _xlpm.lo,18, _xlpm.hi,28,
 IF(AND(_xlpm.t&gt;=_xlpm.lo, _xlpm.t&lt;=_xlpm.hi), 1,
   IF(_xlpm.t&lt;_xlpm.lo, MAX(0, 1 - (_xlpm.lo - _xlpm.t)/(_xlpm.lo*0.5)),
             MAX(0, 1 - (_xlpm.t - _xlpm.hi)/(_xlpm.hi*0.5))
   )
 )
)</f>
        <v>1</v>
      </c>
      <c r="G123" s="2">
        <f>LET(
 _xlpm.h,dss_report!$C123, _xlpm.lo,45, _xlpm.hi,70,
 IF(AND(_xlpm.h&gt;=_xlpm.lo, _xlpm.h&lt;=_xlpm.hi), 1,
   IF(_xlpm.h&lt;_xlpm.lo, MAX(0, 1 - (_xlpm.lo - _xlpm.h)/(_xlpm.lo*0.5)),
             MAX(0, 1 - (_xlpm.h - _xlpm.hi)/(_xlpm.hi*0.5))
   )
 )
)</f>
        <v>0.873449272</v>
      </c>
      <c r="H123" s="2">
        <f t="shared" si="1"/>
        <v>0.9493797088</v>
      </c>
      <c r="I123" s="2" t="b">
        <f>IF(OR(dss_report!$D123=TRUE, H123&lt;0.3), TRUE, FALSE)</f>
        <v>0</v>
      </c>
      <c r="J123" s="2" t="b">
        <f>IF( OR( AND(dss_report!$B123&gt;31, dss_report!$C123&lt;38), H123&lt;0.25 ), TRUE, FALSE)</f>
        <v>0</v>
      </c>
      <c r="K123" s="2">
        <f t="shared" si="2"/>
        <v>0</v>
      </c>
      <c r="L123" s="2">
        <f t="shared" si="3"/>
        <v>0</v>
      </c>
      <c r="M123" s="2">
        <f t="shared" si="4"/>
        <v>0</v>
      </c>
      <c r="N123" s="2">
        <f t="shared" si="5"/>
        <v>1</v>
      </c>
      <c r="O123" s="2">
        <f t="shared" si="6"/>
        <v>0</v>
      </c>
      <c r="P123" s="2">
        <f t="shared" si="7"/>
        <v>0</v>
      </c>
    </row>
    <row r="124" ht="14.25" customHeight="1">
      <c r="A124" s="4">
        <v>45445.270833333336</v>
      </c>
      <c r="B124" s="1">
        <v>20.19665200162136</v>
      </c>
      <c r="C124" s="1">
        <v>42.00426623157313</v>
      </c>
      <c r="D124" s="1" t="b">
        <f>IF(AND(dss_report!$B124&gt;30, dss_report!$C124&lt;40), TRUE, FALSE)</f>
        <v>0</v>
      </c>
      <c r="E124" s="1"/>
      <c r="F124" s="2">
        <f>LET(
 _xlpm.t,dss_report!$B124, _xlpm.lo,18, _xlpm.hi,28,
 IF(AND(_xlpm.t&gt;=_xlpm.lo, _xlpm.t&lt;=_xlpm.hi), 1,
   IF(_xlpm.t&lt;_xlpm.lo, MAX(0, 1 - (_xlpm.lo - _xlpm.t)/(_xlpm.lo*0.5)),
             MAX(0, 1 - (_xlpm.t - _xlpm.hi)/(_xlpm.hi*0.5))
   )
 )
)</f>
        <v>1</v>
      </c>
      <c r="G124" s="2">
        <f>LET(
 _xlpm.h,dss_report!$C124, _xlpm.lo,45, _xlpm.hi,70,
 IF(AND(_xlpm.h&gt;=_xlpm.lo, _xlpm.h&lt;=_xlpm.hi), 1,
   IF(_xlpm.h&lt;_xlpm.lo, MAX(0, 1 - (_xlpm.lo - _xlpm.h)/(_xlpm.lo*0.5)),
             MAX(0, 1 - (_xlpm.h - _xlpm.hi)/(_xlpm.hi*0.5))
   )
 )
)</f>
        <v>0.866856277</v>
      </c>
      <c r="H124" s="2">
        <f t="shared" si="1"/>
        <v>0.9467425108</v>
      </c>
      <c r="I124" s="2" t="b">
        <f>IF(OR(dss_report!$D124=TRUE, H124&lt;0.3), TRUE, FALSE)</f>
        <v>0</v>
      </c>
      <c r="J124" s="2" t="b">
        <f>IF( OR( AND(dss_report!$B124&gt;31, dss_report!$C124&lt;38), H124&lt;0.25 ), TRUE, FALSE)</f>
        <v>0</v>
      </c>
      <c r="K124" s="2">
        <f t="shared" si="2"/>
        <v>0</v>
      </c>
      <c r="L124" s="2">
        <f t="shared" si="3"/>
        <v>0</v>
      </c>
      <c r="M124" s="2">
        <f t="shared" si="4"/>
        <v>0</v>
      </c>
      <c r="N124" s="2">
        <f t="shared" si="5"/>
        <v>1</v>
      </c>
      <c r="O124" s="2">
        <f t="shared" si="6"/>
        <v>0</v>
      </c>
      <c r="P124" s="2">
        <f t="shared" si="7"/>
        <v>0</v>
      </c>
    </row>
    <row r="125" ht="14.25" customHeight="1">
      <c r="A125" s="4">
        <v>45445.28125</v>
      </c>
      <c r="B125" s="1">
        <v>19.81920276674103</v>
      </c>
      <c r="C125" s="1">
        <v>39.996908110730274</v>
      </c>
      <c r="D125" s="1" t="b">
        <f>IF(AND(dss_report!$B125&gt;30, dss_report!$C125&lt;40), TRUE, FALSE)</f>
        <v>0</v>
      </c>
      <c r="E125" s="1"/>
      <c r="F125" s="2">
        <f>LET(
 _xlpm.t,dss_report!$B125, _xlpm.lo,18, _xlpm.hi,28,
 IF(AND(_xlpm.t&gt;=_xlpm.lo, _xlpm.t&lt;=_xlpm.hi), 1,
   IF(_xlpm.t&lt;_xlpm.lo, MAX(0, 1 - (_xlpm.lo - _xlpm.t)/(_xlpm.lo*0.5)),
             MAX(0, 1 - (_xlpm.t - _xlpm.hi)/(_xlpm.hi*0.5))
   )
 )
)</f>
        <v>1</v>
      </c>
      <c r="G125" s="2">
        <f>LET(
 _xlpm.h,dss_report!$C125, _xlpm.lo,45, _xlpm.hi,70,
 IF(AND(_xlpm.h&gt;=_xlpm.lo, _xlpm.h&lt;=_xlpm.hi), 1,
   IF(_xlpm.h&lt;_xlpm.lo, MAX(0, 1 - (_xlpm.lo - _xlpm.h)/(_xlpm.lo*0.5)),
             MAX(0, 1 - (_xlpm.h - _xlpm.hi)/(_xlpm.hi*0.5))
   )
 )
)</f>
        <v>0.7776403605</v>
      </c>
      <c r="H125" s="2">
        <f t="shared" si="1"/>
        <v>0.9110561442</v>
      </c>
      <c r="I125" s="2" t="b">
        <f>IF(OR(dss_report!$D125=TRUE, H125&lt;0.3), TRUE, FALSE)</f>
        <v>0</v>
      </c>
      <c r="J125" s="2" t="b">
        <f>IF( OR( AND(dss_report!$B125&gt;31, dss_report!$C125&lt;38), H125&lt;0.25 ), TRUE, FALSE)</f>
        <v>0</v>
      </c>
      <c r="K125" s="2">
        <f t="shared" si="2"/>
        <v>0</v>
      </c>
      <c r="L125" s="2">
        <f t="shared" si="3"/>
        <v>0</v>
      </c>
      <c r="M125" s="2">
        <f t="shared" si="4"/>
        <v>0</v>
      </c>
      <c r="N125" s="2">
        <f t="shared" si="5"/>
        <v>1</v>
      </c>
      <c r="O125" s="2">
        <f t="shared" si="6"/>
        <v>0</v>
      </c>
      <c r="P125" s="2">
        <f t="shared" si="7"/>
        <v>0</v>
      </c>
    </row>
    <row r="126" ht="14.25" customHeight="1">
      <c r="A126" s="4">
        <v>45445.291666666664</v>
      </c>
      <c r="B126" s="1">
        <v>19.315698009910818</v>
      </c>
      <c r="C126" s="1">
        <v>44.56280842619272</v>
      </c>
      <c r="D126" s="1" t="b">
        <f>IF(AND(dss_report!$B126&gt;30, dss_report!$C126&lt;40), TRUE, FALSE)</f>
        <v>0</v>
      </c>
      <c r="E126" s="1"/>
      <c r="F126" s="2">
        <f>LET(
 _xlpm.t,dss_report!$B126, _xlpm.lo,18, _xlpm.hi,28,
 IF(AND(_xlpm.t&gt;=_xlpm.lo, _xlpm.t&lt;=_xlpm.hi), 1,
   IF(_xlpm.t&lt;_xlpm.lo, MAX(0, 1 - (_xlpm.lo - _xlpm.t)/(_xlpm.lo*0.5)),
             MAX(0, 1 - (_xlpm.t - _xlpm.hi)/(_xlpm.hi*0.5))
   )
 )
)</f>
        <v>1</v>
      </c>
      <c r="G126" s="2">
        <f>LET(
 _xlpm.h,dss_report!$C126, _xlpm.lo,45, _xlpm.hi,70,
 IF(AND(_xlpm.h&gt;=_xlpm.lo, _xlpm.h&lt;=_xlpm.hi), 1,
   IF(_xlpm.h&lt;_xlpm.lo, MAX(0, 1 - (_xlpm.lo - _xlpm.h)/(_xlpm.lo*0.5)),
             MAX(0, 1 - (_xlpm.h - _xlpm.hi)/(_xlpm.hi*0.5))
   )
 )
)</f>
        <v>0.9805692634</v>
      </c>
      <c r="H126" s="2">
        <f t="shared" si="1"/>
        <v>0.9922277054</v>
      </c>
      <c r="I126" s="2" t="b">
        <f>IF(OR(dss_report!$D126=TRUE, H126&lt;0.3), TRUE, FALSE)</f>
        <v>0</v>
      </c>
      <c r="J126" s="2" t="b">
        <f>IF( OR( AND(dss_report!$B126&gt;31, dss_report!$C126&lt;38), H126&lt;0.25 ), TRUE, FALSE)</f>
        <v>0</v>
      </c>
      <c r="K126" s="2">
        <f t="shared" si="2"/>
        <v>0</v>
      </c>
      <c r="L126" s="2">
        <f t="shared" si="3"/>
        <v>0</v>
      </c>
      <c r="M126" s="2">
        <f t="shared" si="4"/>
        <v>0</v>
      </c>
      <c r="N126" s="2">
        <f t="shared" si="5"/>
        <v>1</v>
      </c>
      <c r="O126" s="2">
        <f t="shared" si="6"/>
        <v>0</v>
      </c>
      <c r="P126" s="2">
        <f t="shared" si="7"/>
        <v>0</v>
      </c>
    </row>
    <row r="127" ht="14.25" customHeight="1">
      <c r="A127" s="4">
        <v>45445.302083333336</v>
      </c>
      <c r="B127" s="1">
        <v>19.368662959456756</v>
      </c>
      <c r="C127" s="1">
        <v>44.918213696158105</v>
      </c>
      <c r="D127" s="1" t="b">
        <f>IF(AND(dss_report!$B127&gt;30, dss_report!$C127&lt;40), TRUE, FALSE)</f>
        <v>0</v>
      </c>
      <c r="E127" s="1"/>
      <c r="F127" s="2">
        <f>LET(
 _xlpm.t,dss_report!$B127, _xlpm.lo,18, _xlpm.hi,28,
 IF(AND(_xlpm.t&gt;=_xlpm.lo, _xlpm.t&lt;=_xlpm.hi), 1,
   IF(_xlpm.t&lt;_xlpm.lo, MAX(0, 1 - (_xlpm.lo - _xlpm.t)/(_xlpm.lo*0.5)),
             MAX(0, 1 - (_xlpm.t - _xlpm.hi)/(_xlpm.hi*0.5))
   )
 )
)</f>
        <v>1</v>
      </c>
      <c r="G127" s="2">
        <f>LET(
 _xlpm.h,dss_report!$C127, _xlpm.lo,45, _xlpm.hi,70,
 IF(AND(_xlpm.h&gt;=_xlpm.lo, _xlpm.h&lt;=_xlpm.hi), 1,
   IF(_xlpm.h&lt;_xlpm.lo, MAX(0, 1 - (_xlpm.lo - _xlpm.h)/(_xlpm.lo*0.5)),
             MAX(0, 1 - (_xlpm.h - _xlpm.hi)/(_xlpm.hi*0.5))
   )
 )
)</f>
        <v>0.9963650532</v>
      </c>
      <c r="H127" s="2">
        <f t="shared" si="1"/>
        <v>0.9985460213</v>
      </c>
      <c r="I127" s="2" t="b">
        <f>IF(OR(dss_report!$D127=TRUE, H127&lt;0.3), TRUE, FALSE)</f>
        <v>0</v>
      </c>
      <c r="J127" s="2" t="b">
        <f>IF( OR( AND(dss_report!$B127&gt;31, dss_report!$C127&lt;38), H127&lt;0.25 ), TRUE, FALSE)</f>
        <v>0</v>
      </c>
      <c r="K127" s="2">
        <f t="shared" si="2"/>
        <v>0</v>
      </c>
      <c r="L127" s="2">
        <f t="shared" si="3"/>
        <v>0</v>
      </c>
      <c r="M127" s="2">
        <f t="shared" si="4"/>
        <v>0</v>
      </c>
      <c r="N127" s="2">
        <f t="shared" si="5"/>
        <v>1</v>
      </c>
      <c r="O127" s="2">
        <f t="shared" si="6"/>
        <v>0</v>
      </c>
      <c r="P127" s="2">
        <f t="shared" si="7"/>
        <v>0</v>
      </c>
    </row>
    <row r="128" ht="14.25" customHeight="1">
      <c r="A128" s="4">
        <v>45445.3125</v>
      </c>
      <c r="B128" s="1">
        <v>20.111699336026923</v>
      </c>
      <c r="C128" s="1">
        <v>40.62867932218348</v>
      </c>
      <c r="D128" s="1" t="b">
        <f>IF(AND(dss_report!$B128&gt;30, dss_report!$C128&lt;40), TRUE, FALSE)</f>
        <v>0</v>
      </c>
      <c r="E128" s="1"/>
      <c r="F128" s="2">
        <f>LET(
 _xlpm.t,dss_report!$B128, _xlpm.lo,18, _xlpm.hi,28,
 IF(AND(_xlpm.t&gt;=_xlpm.lo, _xlpm.t&lt;=_xlpm.hi), 1,
   IF(_xlpm.t&lt;_xlpm.lo, MAX(0, 1 - (_xlpm.lo - _xlpm.t)/(_xlpm.lo*0.5)),
             MAX(0, 1 - (_xlpm.t - _xlpm.hi)/(_xlpm.hi*0.5))
   )
 )
)</f>
        <v>1</v>
      </c>
      <c r="G128" s="2">
        <f>LET(
 _xlpm.h,dss_report!$C128, _xlpm.lo,45, _xlpm.hi,70,
 IF(AND(_xlpm.h&gt;=_xlpm.lo, _xlpm.h&lt;=_xlpm.hi), 1,
   IF(_xlpm.h&lt;_xlpm.lo, MAX(0, 1 - (_xlpm.lo - _xlpm.h)/(_xlpm.lo*0.5)),
             MAX(0, 1 - (_xlpm.h - _xlpm.hi)/(_xlpm.hi*0.5))
   )
 )
)</f>
        <v>0.805719081</v>
      </c>
      <c r="H128" s="2">
        <f t="shared" si="1"/>
        <v>0.9222876324</v>
      </c>
      <c r="I128" s="2" t="b">
        <f>IF(OR(dss_report!$D128=TRUE, H128&lt;0.3), TRUE, FALSE)</f>
        <v>0</v>
      </c>
      <c r="J128" s="2" t="b">
        <f>IF( OR( AND(dss_report!$B128&gt;31, dss_report!$C128&lt;38), H128&lt;0.25 ), TRUE, FALSE)</f>
        <v>0</v>
      </c>
      <c r="K128" s="2">
        <f t="shared" si="2"/>
        <v>0</v>
      </c>
      <c r="L128" s="2">
        <f t="shared" si="3"/>
        <v>0</v>
      </c>
      <c r="M128" s="2">
        <f t="shared" si="4"/>
        <v>0</v>
      </c>
      <c r="N128" s="2">
        <f t="shared" si="5"/>
        <v>1</v>
      </c>
      <c r="O128" s="2">
        <f t="shared" si="6"/>
        <v>0</v>
      </c>
      <c r="P128" s="2">
        <f t="shared" si="7"/>
        <v>0</v>
      </c>
    </row>
    <row r="129" ht="14.25" customHeight="1">
      <c r="A129" s="4">
        <v>45445.322916666664</v>
      </c>
      <c r="B129" s="1">
        <v>20.467755244553224</v>
      </c>
      <c r="C129" s="1">
        <v>42.68347644193935</v>
      </c>
      <c r="D129" s="1" t="b">
        <f>IF(AND(dss_report!$B129&gt;30, dss_report!$C129&lt;40), TRUE, FALSE)</f>
        <v>0</v>
      </c>
      <c r="E129" s="1"/>
      <c r="F129" s="2">
        <f>LET(
 _xlpm.t,dss_report!$B129, _xlpm.lo,18, _xlpm.hi,28,
 IF(AND(_xlpm.t&gt;=_xlpm.lo, _xlpm.t&lt;=_xlpm.hi), 1,
   IF(_xlpm.t&lt;_xlpm.lo, MAX(0, 1 - (_xlpm.lo - _xlpm.t)/(_xlpm.lo*0.5)),
             MAX(0, 1 - (_xlpm.t - _xlpm.hi)/(_xlpm.hi*0.5))
   )
 )
)</f>
        <v>1</v>
      </c>
      <c r="G129" s="2">
        <f>LET(
 _xlpm.h,dss_report!$C129, _xlpm.lo,45, _xlpm.hi,70,
 IF(AND(_xlpm.h&gt;=_xlpm.lo, _xlpm.h&lt;=_xlpm.hi), 1,
   IF(_xlpm.h&lt;_xlpm.lo, MAX(0, 1 - (_xlpm.lo - _xlpm.h)/(_xlpm.lo*0.5)),
             MAX(0, 1 - (_xlpm.h - _xlpm.hi)/(_xlpm.hi*0.5))
   )
 )
)</f>
        <v>0.8970433974</v>
      </c>
      <c r="H129" s="2">
        <f t="shared" si="1"/>
        <v>0.958817359</v>
      </c>
      <c r="I129" s="2" t="b">
        <f>IF(OR(dss_report!$D129=TRUE, H129&lt;0.3), TRUE, FALSE)</f>
        <v>0</v>
      </c>
      <c r="J129" s="2" t="b">
        <f>IF( OR( AND(dss_report!$B129&gt;31, dss_report!$C129&lt;38), H129&lt;0.25 ), TRUE, FALSE)</f>
        <v>0</v>
      </c>
      <c r="K129" s="2">
        <f t="shared" si="2"/>
        <v>0</v>
      </c>
      <c r="L129" s="2">
        <f t="shared" si="3"/>
        <v>0</v>
      </c>
      <c r="M129" s="2">
        <f t="shared" si="4"/>
        <v>0</v>
      </c>
      <c r="N129" s="2">
        <f t="shared" si="5"/>
        <v>1</v>
      </c>
      <c r="O129" s="2">
        <f t="shared" si="6"/>
        <v>0</v>
      </c>
      <c r="P129" s="2">
        <f t="shared" si="7"/>
        <v>0</v>
      </c>
    </row>
    <row r="130" ht="14.25" customHeight="1">
      <c r="A130" s="4">
        <v>45445.333333333336</v>
      </c>
      <c r="B130" s="1">
        <v>19.839534339423352</v>
      </c>
      <c r="C130" s="1">
        <v>43.47476215445999</v>
      </c>
      <c r="D130" s="1" t="b">
        <f>IF(AND(dss_report!$B130&gt;30, dss_report!$C130&lt;40), TRUE, FALSE)</f>
        <v>0</v>
      </c>
      <c r="E130" s="1"/>
      <c r="F130" s="2">
        <f>LET(
 _xlpm.t,dss_report!$B130, _xlpm.lo,18, _xlpm.hi,28,
 IF(AND(_xlpm.t&gt;=_xlpm.lo, _xlpm.t&lt;=_xlpm.hi), 1,
   IF(_xlpm.t&lt;_xlpm.lo, MAX(0, 1 - (_xlpm.lo - _xlpm.t)/(_xlpm.lo*0.5)),
             MAX(0, 1 - (_xlpm.t - _xlpm.hi)/(_xlpm.hi*0.5))
   )
 )
)</f>
        <v>1</v>
      </c>
      <c r="G130" s="2">
        <f>LET(
 _xlpm.h,dss_report!$C130, _xlpm.lo,45, _xlpm.hi,70,
 IF(AND(_xlpm.h&gt;=_xlpm.lo, _xlpm.h&lt;=_xlpm.hi), 1,
   IF(_xlpm.h&lt;_xlpm.lo, MAX(0, 1 - (_xlpm.lo - _xlpm.h)/(_xlpm.lo*0.5)),
             MAX(0, 1 - (_xlpm.h - _xlpm.hi)/(_xlpm.hi*0.5))
   )
 )
)</f>
        <v>0.9322116513</v>
      </c>
      <c r="H130" s="2">
        <f t="shared" si="1"/>
        <v>0.9728846605</v>
      </c>
      <c r="I130" s="2" t="b">
        <f>IF(OR(dss_report!$D130=TRUE, H130&lt;0.3), TRUE, FALSE)</f>
        <v>0</v>
      </c>
      <c r="J130" s="2" t="b">
        <f>IF( OR( AND(dss_report!$B130&gt;31, dss_report!$C130&lt;38), H130&lt;0.25 ), TRUE, FALSE)</f>
        <v>0</v>
      </c>
      <c r="K130" s="2">
        <f t="shared" si="2"/>
        <v>0</v>
      </c>
      <c r="L130" s="2">
        <f t="shared" si="3"/>
        <v>0</v>
      </c>
      <c r="M130" s="2">
        <f t="shared" si="4"/>
        <v>0</v>
      </c>
      <c r="N130" s="2">
        <f t="shared" si="5"/>
        <v>1</v>
      </c>
      <c r="O130" s="2">
        <f t="shared" si="6"/>
        <v>0</v>
      </c>
      <c r="P130" s="2">
        <f t="shared" si="7"/>
        <v>0</v>
      </c>
    </row>
    <row r="131" ht="14.25" customHeight="1">
      <c r="A131" s="4">
        <v>45445.34375</v>
      </c>
      <c r="B131" s="1">
        <v>20.30318763056868</v>
      </c>
      <c r="C131" s="1">
        <v>45.10919549681996</v>
      </c>
      <c r="D131" s="1" t="b">
        <f>IF(AND(dss_report!$B131&gt;30, dss_report!$C131&lt;40), TRUE, FALSE)</f>
        <v>0</v>
      </c>
      <c r="E131" s="1"/>
      <c r="F131" s="2">
        <f>LET(
 _xlpm.t,dss_report!$B131, _xlpm.lo,18, _xlpm.hi,28,
 IF(AND(_xlpm.t&gt;=_xlpm.lo, _xlpm.t&lt;=_xlpm.hi), 1,
   IF(_xlpm.t&lt;_xlpm.lo, MAX(0, 1 - (_xlpm.lo - _xlpm.t)/(_xlpm.lo*0.5)),
             MAX(0, 1 - (_xlpm.t - _xlpm.hi)/(_xlpm.hi*0.5))
   )
 )
)</f>
        <v>1</v>
      </c>
      <c r="G131" s="2">
        <f>LET(
 _xlpm.h,dss_report!$C131, _xlpm.lo,45, _xlpm.hi,70,
 IF(AND(_xlpm.h&gt;=_xlpm.lo, _xlpm.h&lt;=_xlpm.hi), 1,
   IF(_xlpm.h&lt;_xlpm.lo, MAX(0, 1 - (_xlpm.lo - _xlpm.h)/(_xlpm.lo*0.5)),
             MAX(0, 1 - (_xlpm.h - _xlpm.hi)/(_xlpm.hi*0.5))
   )
 )
)</f>
        <v>1</v>
      </c>
      <c r="H131" s="2">
        <f t="shared" si="1"/>
        <v>1</v>
      </c>
      <c r="I131" s="2" t="b">
        <f>IF(OR(dss_report!$D131=TRUE, H131&lt;0.3), TRUE, FALSE)</f>
        <v>0</v>
      </c>
      <c r="J131" s="2" t="b">
        <f>IF( OR( AND(dss_report!$B131&gt;31, dss_report!$C131&lt;38), H131&lt;0.25 ), TRUE, FALSE)</f>
        <v>0</v>
      </c>
      <c r="K131" s="2">
        <f t="shared" si="2"/>
        <v>0</v>
      </c>
      <c r="L131" s="2">
        <f t="shared" si="3"/>
        <v>0</v>
      </c>
      <c r="M131" s="2">
        <f t="shared" si="4"/>
        <v>0</v>
      </c>
      <c r="N131" s="2">
        <f t="shared" si="5"/>
        <v>1</v>
      </c>
      <c r="O131" s="2">
        <f t="shared" si="6"/>
        <v>0</v>
      </c>
      <c r="P131" s="2">
        <f t="shared" si="7"/>
        <v>0</v>
      </c>
    </row>
    <row r="132" ht="14.25" customHeight="1">
      <c r="A132" s="4">
        <v>45445.354166666664</v>
      </c>
      <c r="B132" s="1">
        <v>20.8299151655356</v>
      </c>
      <c r="C132" s="1">
        <v>45.85246875402231</v>
      </c>
      <c r="D132" s="1" t="b">
        <f>IF(AND(dss_report!$B132&gt;30, dss_report!$C132&lt;40), TRUE, FALSE)</f>
        <v>0</v>
      </c>
      <c r="E132" s="1"/>
      <c r="F132" s="2">
        <f>LET(
 _xlpm.t,dss_report!$B132, _xlpm.lo,18, _xlpm.hi,28,
 IF(AND(_xlpm.t&gt;=_xlpm.lo, _xlpm.t&lt;=_xlpm.hi), 1,
   IF(_xlpm.t&lt;_xlpm.lo, MAX(0, 1 - (_xlpm.lo - _xlpm.t)/(_xlpm.lo*0.5)),
             MAX(0, 1 - (_xlpm.t - _xlpm.hi)/(_xlpm.hi*0.5))
   )
 )
)</f>
        <v>1</v>
      </c>
      <c r="G132" s="2">
        <f>LET(
 _xlpm.h,dss_report!$C132, _xlpm.lo,45, _xlpm.hi,70,
 IF(AND(_xlpm.h&gt;=_xlpm.lo, _xlpm.h&lt;=_xlpm.hi), 1,
   IF(_xlpm.h&lt;_xlpm.lo, MAX(0, 1 - (_xlpm.lo - _xlpm.h)/(_xlpm.lo*0.5)),
             MAX(0, 1 - (_xlpm.h - _xlpm.hi)/(_xlpm.hi*0.5))
   )
 )
)</f>
        <v>1</v>
      </c>
      <c r="H132" s="2">
        <f t="shared" si="1"/>
        <v>1</v>
      </c>
      <c r="I132" s="2" t="b">
        <f>IF(OR(dss_report!$D132=TRUE, H132&lt;0.3), TRUE, FALSE)</f>
        <v>0</v>
      </c>
      <c r="J132" s="2" t="b">
        <f>IF( OR( AND(dss_report!$B132&gt;31, dss_report!$C132&lt;38), H132&lt;0.25 ), TRUE, FALSE)</f>
        <v>0</v>
      </c>
      <c r="K132" s="2">
        <f t="shared" si="2"/>
        <v>0</v>
      </c>
      <c r="L132" s="2">
        <f t="shared" si="3"/>
        <v>0</v>
      </c>
      <c r="M132" s="2">
        <f t="shared" si="4"/>
        <v>0</v>
      </c>
      <c r="N132" s="2">
        <f t="shared" si="5"/>
        <v>1</v>
      </c>
      <c r="O132" s="2">
        <f t="shared" si="6"/>
        <v>0</v>
      </c>
      <c r="P132" s="2">
        <f t="shared" si="7"/>
        <v>0</v>
      </c>
    </row>
    <row r="133" ht="14.25" customHeight="1">
      <c r="A133" s="4">
        <v>45445.364583333336</v>
      </c>
      <c r="B133" s="1">
        <v>20.596912835339626</v>
      </c>
      <c r="C133" s="1">
        <v>47.823404294694434</v>
      </c>
      <c r="D133" s="1" t="b">
        <f>IF(AND(dss_report!$B133&gt;30, dss_report!$C133&lt;40), TRUE, FALSE)</f>
        <v>0</v>
      </c>
      <c r="E133" s="1"/>
      <c r="F133" s="2">
        <f>LET(
 _xlpm.t,dss_report!$B133, _xlpm.lo,18, _xlpm.hi,28,
 IF(AND(_xlpm.t&gt;=_xlpm.lo, _xlpm.t&lt;=_xlpm.hi), 1,
   IF(_xlpm.t&lt;_xlpm.lo, MAX(0, 1 - (_xlpm.lo - _xlpm.t)/(_xlpm.lo*0.5)),
             MAX(0, 1 - (_xlpm.t - _xlpm.hi)/(_xlpm.hi*0.5))
   )
 )
)</f>
        <v>1</v>
      </c>
      <c r="G133" s="2">
        <f>LET(
 _xlpm.h,dss_report!$C133, _xlpm.lo,45, _xlpm.hi,70,
 IF(AND(_xlpm.h&gt;=_xlpm.lo, _xlpm.h&lt;=_xlpm.hi), 1,
   IF(_xlpm.h&lt;_xlpm.lo, MAX(0, 1 - (_xlpm.lo - _xlpm.h)/(_xlpm.lo*0.5)),
             MAX(0, 1 - (_xlpm.h - _xlpm.hi)/(_xlpm.hi*0.5))
   )
 )
)</f>
        <v>1</v>
      </c>
      <c r="H133" s="2">
        <f t="shared" si="1"/>
        <v>1</v>
      </c>
      <c r="I133" s="2" t="b">
        <f>IF(OR(dss_report!$D133=TRUE, H133&lt;0.3), TRUE, FALSE)</f>
        <v>0</v>
      </c>
      <c r="J133" s="2" t="b">
        <f>IF( OR( AND(dss_report!$B133&gt;31, dss_report!$C133&lt;38), H133&lt;0.25 ), TRUE, FALSE)</f>
        <v>0</v>
      </c>
      <c r="K133" s="2">
        <f t="shared" si="2"/>
        <v>0</v>
      </c>
      <c r="L133" s="2">
        <f t="shared" si="3"/>
        <v>0</v>
      </c>
      <c r="M133" s="2">
        <f t="shared" si="4"/>
        <v>0</v>
      </c>
      <c r="N133" s="2">
        <f t="shared" si="5"/>
        <v>1</v>
      </c>
      <c r="O133" s="2">
        <f t="shared" si="6"/>
        <v>0</v>
      </c>
      <c r="P133" s="2">
        <f t="shared" si="7"/>
        <v>0</v>
      </c>
    </row>
    <row r="134" ht="14.25" customHeight="1">
      <c r="A134" s="4">
        <v>45445.375</v>
      </c>
      <c r="B134" s="1">
        <v>21.0679352954557</v>
      </c>
      <c r="C134" s="1">
        <v>48.512730345704426</v>
      </c>
      <c r="D134" s="1" t="b">
        <f>IF(AND(dss_report!$B134&gt;30, dss_report!$C134&lt;40), TRUE, FALSE)</f>
        <v>0</v>
      </c>
      <c r="E134" s="1"/>
      <c r="F134" s="2">
        <f>LET(
 _xlpm.t,dss_report!$B134, _xlpm.lo,18, _xlpm.hi,28,
 IF(AND(_xlpm.t&gt;=_xlpm.lo, _xlpm.t&lt;=_xlpm.hi), 1,
   IF(_xlpm.t&lt;_xlpm.lo, MAX(0, 1 - (_xlpm.lo - _xlpm.t)/(_xlpm.lo*0.5)),
             MAX(0, 1 - (_xlpm.t - _xlpm.hi)/(_xlpm.hi*0.5))
   )
 )
)</f>
        <v>1</v>
      </c>
      <c r="G134" s="2">
        <f>LET(
 _xlpm.h,dss_report!$C134, _xlpm.lo,45, _xlpm.hi,70,
 IF(AND(_xlpm.h&gt;=_xlpm.lo, _xlpm.h&lt;=_xlpm.hi), 1,
   IF(_xlpm.h&lt;_xlpm.lo, MAX(0, 1 - (_xlpm.lo - _xlpm.h)/(_xlpm.lo*0.5)),
             MAX(0, 1 - (_xlpm.h - _xlpm.hi)/(_xlpm.hi*0.5))
   )
 )
)</f>
        <v>1</v>
      </c>
      <c r="H134" s="2">
        <f t="shared" si="1"/>
        <v>1</v>
      </c>
      <c r="I134" s="2" t="b">
        <f>IF(OR(dss_report!$D134=TRUE, H134&lt;0.3), TRUE, FALSE)</f>
        <v>0</v>
      </c>
      <c r="J134" s="2" t="b">
        <f>IF( OR( AND(dss_report!$B134&gt;31, dss_report!$C134&lt;38), H134&lt;0.25 ), TRUE, FALSE)</f>
        <v>0</v>
      </c>
      <c r="K134" s="2">
        <f t="shared" si="2"/>
        <v>0</v>
      </c>
      <c r="L134" s="2">
        <f t="shared" si="3"/>
        <v>0</v>
      </c>
      <c r="M134" s="2">
        <f t="shared" si="4"/>
        <v>0</v>
      </c>
      <c r="N134" s="2">
        <f t="shared" si="5"/>
        <v>1</v>
      </c>
      <c r="O134" s="2">
        <f t="shared" si="6"/>
        <v>0</v>
      </c>
      <c r="P134" s="2">
        <f t="shared" si="7"/>
        <v>0</v>
      </c>
    </row>
    <row r="135" ht="14.25" customHeight="1">
      <c r="A135" s="4">
        <v>45445.385416666664</v>
      </c>
      <c r="B135" s="1">
        <v>34.769963367652714</v>
      </c>
      <c r="C135" s="1">
        <v>34.090301533248436</v>
      </c>
      <c r="D135" s="1" t="b">
        <f>IF(AND(dss_report!$B135&gt;30, dss_report!$C135&lt;40), TRUE, FALSE)</f>
        <v>1</v>
      </c>
      <c r="E135" s="1"/>
      <c r="F135" s="2">
        <f>LET(
 _xlpm.t,dss_report!$B135, _xlpm.lo,18, _xlpm.hi,28,
 IF(AND(_xlpm.t&gt;=_xlpm.lo, _xlpm.t&lt;=_xlpm.hi), 1,
   IF(_xlpm.t&lt;_xlpm.lo, MAX(0, 1 - (_xlpm.lo - _xlpm.t)/(_xlpm.lo*0.5)),
             MAX(0, 1 - (_xlpm.t - _xlpm.hi)/(_xlpm.hi*0.5))
   )
 )
)</f>
        <v>0.516431188</v>
      </c>
      <c r="G135" s="2">
        <f>LET(
 _xlpm.h,dss_report!$C135, _xlpm.lo,45, _xlpm.hi,70,
 IF(AND(_xlpm.h&gt;=_xlpm.lo, _xlpm.h&lt;=_xlpm.hi), 1,
   IF(_xlpm.h&lt;_xlpm.lo, MAX(0, 1 - (_xlpm.lo - _xlpm.h)/(_xlpm.lo*0.5)),
             MAX(0, 1 - (_xlpm.h - _xlpm.hi)/(_xlpm.hi*0.5))
   )
 )
)</f>
        <v>0.5151245126</v>
      </c>
      <c r="H135" s="2">
        <f t="shared" si="1"/>
        <v>0.5159085179</v>
      </c>
      <c r="I135" s="2" t="b">
        <f>IF(OR(dss_report!$D135=TRUE, H135&lt;0.3), TRUE, FALSE)</f>
        <v>1</v>
      </c>
      <c r="J135" s="2" t="b">
        <f>IF( OR( AND(dss_report!$B135&gt;31, dss_report!$C135&lt;38), H135&lt;0.25 ), TRUE, FALSE)</f>
        <v>1</v>
      </c>
      <c r="K135" s="2">
        <f t="shared" si="2"/>
        <v>1</v>
      </c>
      <c r="L135" s="2">
        <f t="shared" si="3"/>
        <v>0</v>
      </c>
      <c r="M135" s="2">
        <f t="shared" si="4"/>
        <v>0</v>
      </c>
      <c r="N135" s="2">
        <f t="shared" si="5"/>
        <v>0</v>
      </c>
      <c r="O135" s="2">
        <f t="shared" si="6"/>
        <v>1</v>
      </c>
      <c r="P135" s="2">
        <f t="shared" si="7"/>
        <v>1</v>
      </c>
    </row>
    <row r="136" ht="14.25" customHeight="1">
      <c r="A136" s="4">
        <v>45445.395833333336</v>
      </c>
      <c r="B136" s="1">
        <v>34.2228900979407</v>
      </c>
      <c r="C136" s="1">
        <v>29.100372873720815</v>
      </c>
      <c r="D136" s="1" t="b">
        <f>IF(AND(dss_report!$B136&gt;30, dss_report!$C136&lt;40), TRUE, FALSE)</f>
        <v>1</v>
      </c>
      <c r="E136" s="1"/>
      <c r="F136" s="2">
        <f>LET(
 _xlpm.t,dss_report!$B136, _xlpm.lo,18, _xlpm.hi,28,
 IF(AND(_xlpm.t&gt;=_xlpm.lo, _xlpm.t&lt;=_xlpm.hi), 1,
   IF(_xlpm.t&lt;_xlpm.lo, MAX(0, 1 - (_xlpm.lo - _xlpm.t)/(_xlpm.lo*0.5)),
             MAX(0, 1 - (_xlpm.t - _xlpm.hi)/(_xlpm.hi*0.5))
   )
 )
)</f>
        <v>0.5555078501</v>
      </c>
      <c r="G136" s="2">
        <f>LET(
 _xlpm.h,dss_report!$C136, _xlpm.lo,45, _xlpm.hi,70,
 IF(AND(_xlpm.h&gt;=_xlpm.lo, _xlpm.h&lt;=_xlpm.hi), 1,
   IF(_xlpm.h&lt;_xlpm.lo, MAX(0, 1 - (_xlpm.lo - _xlpm.h)/(_xlpm.lo*0.5)),
             MAX(0, 1 - (_xlpm.h - _xlpm.hi)/(_xlpm.hi*0.5))
   )
 )
)</f>
        <v>0.2933499055</v>
      </c>
      <c r="H136" s="2">
        <f t="shared" si="1"/>
        <v>0.4506446723</v>
      </c>
      <c r="I136" s="2" t="b">
        <f>IF(OR(dss_report!$D136=TRUE, H136&lt;0.3), TRUE, FALSE)</f>
        <v>1</v>
      </c>
      <c r="J136" s="2" t="b">
        <f>IF( OR( AND(dss_report!$B136&gt;31, dss_report!$C136&lt;38), H136&lt;0.25 ), TRUE, FALSE)</f>
        <v>1</v>
      </c>
      <c r="K136" s="2">
        <f t="shared" si="2"/>
        <v>1</v>
      </c>
      <c r="L136" s="2">
        <f t="shared" si="3"/>
        <v>0</v>
      </c>
      <c r="M136" s="2">
        <f t="shared" si="4"/>
        <v>0</v>
      </c>
      <c r="N136" s="2">
        <f t="shared" si="5"/>
        <v>0</v>
      </c>
      <c r="O136" s="2">
        <f t="shared" si="6"/>
        <v>1</v>
      </c>
      <c r="P136" s="2">
        <f t="shared" si="7"/>
        <v>1</v>
      </c>
    </row>
    <row r="137" ht="14.25" customHeight="1">
      <c r="A137" s="4">
        <v>45445.40625</v>
      </c>
      <c r="B137" s="1">
        <v>35.12125639561798</v>
      </c>
      <c r="C137" s="1">
        <v>32.65245334763362</v>
      </c>
      <c r="D137" s="1" t="b">
        <f>IF(AND(dss_report!$B137&gt;30, dss_report!$C137&lt;40), TRUE, FALSE)</f>
        <v>1</v>
      </c>
      <c r="E137" s="1"/>
      <c r="F137" s="2">
        <f>LET(
 _xlpm.t,dss_report!$B137, _xlpm.lo,18, _xlpm.hi,28,
 IF(AND(_xlpm.t&gt;=_xlpm.lo, _xlpm.t&lt;=_xlpm.hi), 1,
   IF(_xlpm.t&lt;_xlpm.lo, MAX(0, 1 - (_xlpm.lo - _xlpm.t)/(_xlpm.lo*0.5)),
             MAX(0, 1 - (_xlpm.t - _xlpm.hi)/(_xlpm.hi*0.5))
   )
 )
)</f>
        <v>0.4913388289</v>
      </c>
      <c r="G137" s="2">
        <f>LET(
 _xlpm.h,dss_report!$C137, _xlpm.lo,45, _xlpm.hi,70,
 IF(AND(_xlpm.h&gt;=_xlpm.lo, _xlpm.h&lt;=_xlpm.hi), 1,
   IF(_xlpm.h&lt;_xlpm.lo, MAX(0, 1 - (_xlpm.lo - _xlpm.h)/(_xlpm.lo*0.5)),
             MAX(0, 1 - (_xlpm.h - _xlpm.hi)/(_xlpm.hi*0.5))
   )
 )
)</f>
        <v>0.4512201488</v>
      </c>
      <c r="H137" s="2">
        <f t="shared" si="1"/>
        <v>0.4752913568</v>
      </c>
      <c r="I137" s="2" t="b">
        <f>IF(OR(dss_report!$D137=TRUE, H137&lt;0.3), TRUE, FALSE)</f>
        <v>1</v>
      </c>
      <c r="J137" s="2" t="b">
        <f>IF( OR( AND(dss_report!$B137&gt;31, dss_report!$C137&lt;38), H137&lt;0.25 ), TRUE, FALSE)</f>
        <v>1</v>
      </c>
      <c r="K137" s="2">
        <f t="shared" si="2"/>
        <v>1</v>
      </c>
      <c r="L137" s="2">
        <f t="shared" si="3"/>
        <v>0</v>
      </c>
      <c r="M137" s="2">
        <f t="shared" si="4"/>
        <v>0</v>
      </c>
      <c r="N137" s="2">
        <f t="shared" si="5"/>
        <v>0</v>
      </c>
      <c r="O137" s="2">
        <f t="shared" si="6"/>
        <v>1</v>
      </c>
      <c r="P137" s="2">
        <f t="shared" si="7"/>
        <v>1</v>
      </c>
    </row>
    <row r="138" ht="14.25" customHeight="1">
      <c r="A138" s="4">
        <v>45445.416666666664</v>
      </c>
      <c r="B138" s="1">
        <v>36.95169920973945</v>
      </c>
      <c r="C138" s="1">
        <v>32.01850020863226</v>
      </c>
      <c r="D138" s="1" t="b">
        <f>IF(AND(dss_report!$B138&gt;30, dss_report!$C138&lt;40), TRUE, FALSE)</f>
        <v>1</v>
      </c>
      <c r="E138" s="1"/>
      <c r="F138" s="2">
        <f>LET(
 _xlpm.t,dss_report!$B138, _xlpm.lo,18, _xlpm.hi,28,
 IF(AND(_xlpm.t&gt;=_xlpm.lo, _xlpm.t&lt;=_xlpm.hi), 1,
   IF(_xlpm.t&lt;_xlpm.lo, MAX(0, 1 - (_xlpm.lo - _xlpm.t)/(_xlpm.lo*0.5)),
             MAX(0, 1 - (_xlpm.t - _xlpm.hi)/(_xlpm.hi*0.5))
   )
 )
)</f>
        <v>0.3605929136</v>
      </c>
      <c r="G138" s="2">
        <f>LET(
 _xlpm.h,dss_report!$C138, _xlpm.lo,45, _xlpm.hi,70,
 IF(AND(_xlpm.h&gt;=_xlpm.lo, _xlpm.h&lt;=_xlpm.hi), 1,
   IF(_xlpm.h&lt;_xlpm.lo, MAX(0, 1 - (_xlpm.lo - _xlpm.h)/(_xlpm.lo*0.5)),
             MAX(0, 1 - (_xlpm.h - _xlpm.hi)/(_xlpm.hi*0.5))
   )
 )
)</f>
        <v>0.4230444537</v>
      </c>
      <c r="H138" s="2">
        <f t="shared" si="1"/>
        <v>0.3855735296</v>
      </c>
      <c r="I138" s="2" t="b">
        <f>IF(OR(dss_report!$D138=TRUE, H138&lt;0.3), TRUE, FALSE)</f>
        <v>1</v>
      </c>
      <c r="J138" s="2" t="b">
        <f>IF( OR( AND(dss_report!$B138&gt;31, dss_report!$C138&lt;38), H138&lt;0.25 ), TRUE, FALSE)</f>
        <v>1</v>
      </c>
      <c r="K138" s="2">
        <f t="shared" si="2"/>
        <v>1</v>
      </c>
      <c r="L138" s="2">
        <f t="shared" si="3"/>
        <v>0</v>
      </c>
      <c r="M138" s="2">
        <f t="shared" si="4"/>
        <v>0</v>
      </c>
      <c r="N138" s="2">
        <f t="shared" si="5"/>
        <v>0</v>
      </c>
      <c r="O138" s="2">
        <f t="shared" si="6"/>
        <v>1</v>
      </c>
      <c r="P138" s="2">
        <f t="shared" si="7"/>
        <v>1</v>
      </c>
    </row>
    <row r="139" ht="14.25" customHeight="1">
      <c r="A139" s="4">
        <v>45445.427083333336</v>
      </c>
      <c r="B139" s="1">
        <v>33.668342866942936</v>
      </c>
      <c r="C139" s="1">
        <v>38.7182364919919</v>
      </c>
      <c r="D139" s="1" t="b">
        <f>IF(AND(dss_report!$B139&gt;30, dss_report!$C139&lt;40), TRUE, FALSE)</f>
        <v>1</v>
      </c>
      <c r="E139" s="1"/>
      <c r="F139" s="2">
        <f>LET(
 _xlpm.t,dss_report!$B139, _xlpm.lo,18, _xlpm.hi,28,
 IF(AND(_xlpm.t&gt;=_xlpm.lo, _xlpm.t&lt;=_xlpm.hi), 1,
   IF(_xlpm.t&lt;_xlpm.lo, MAX(0, 1 - (_xlpm.lo - _xlpm.t)/(_xlpm.lo*0.5)),
             MAX(0, 1 - (_xlpm.t - _xlpm.hi)/(_xlpm.hi*0.5))
   )
 )
)</f>
        <v>0.5951183666</v>
      </c>
      <c r="G139" s="2">
        <f>LET(
 _xlpm.h,dss_report!$C139, _xlpm.lo,45, _xlpm.hi,70,
 IF(AND(_xlpm.h&gt;=_xlpm.lo, _xlpm.h&lt;=_xlpm.hi), 1,
   IF(_xlpm.h&lt;_xlpm.lo, MAX(0, 1 - (_xlpm.lo - _xlpm.h)/(_xlpm.lo*0.5)),
             MAX(0, 1 - (_xlpm.h - _xlpm.hi)/(_xlpm.hi*0.5))
   )
 )
)</f>
        <v>0.7208105108</v>
      </c>
      <c r="H139" s="2">
        <f t="shared" si="1"/>
        <v>0.6453952243</v>
      </c>
      <c r="I139" s="2" t="b">
        <f>IF(OR(dss_report!$D139=TRUE, H139&lt;0.3), TRUE, FALSE)</f>
        <v>1</v>
      </c>
      <c r="J139" s="2" t="b">
        <f>IF( OR( AND(dss_report!$B139&gt;31, dss_report!$C139&lt;38), H139&lt;0.25 ), TRUE, FALSE)</f>
        <v>0</v>
      </c>
      <c r="K139" s="2">
        <f t="shared" si="2"/>
        <v>0</v>
      </c>
      <c r="L139" s="2">
        <f t="shared" si="3"/>
        <v>1</v>
      </c>
      <c r="M139" s="2">
        <f t="shared" si="4"/>
        <v>0</v>
      </c>
      <c r="N139" s="2">
        <f t="shared" si="5"/>
        <v>0</v>
      </c>
      <c r="O139" s="2">
        <f t="shared" si="6"/>
        <v>0</v>
      </c>
      <c r="P139" s="2">
        <f t="shared" si="7"/>
        <v>0</v>
      </c>
    </row>
    <row r="140" ht="14.25" customHeight="1">
      <c r="A140" s="4">
        <v>45445.4375</v>
      </c>
      <c r="B140" s="1">
        <v>35.255964605408636</v>
      </c>
      <c r="C140" s="1">
        <v>34.34630427740987</v>
      </c>
      <c r="D140" s="1" t="b">
        <f>IF(AND(dss_report!$B140&gt;30, dss_report!$C140&lt;40), TRUE, FALSE)</f>
        <v>1</v>
      </c>
      <c r="E140" s="1"/>
      <c r="F140" s="2">
        <f>LET(
 _xlpm.t,dss_report!$B140, _xlpm.lo,18, _xlpm.hi,28,
 IF(AND(_xlpm.t&gt;=_xlpm.lo, _xlpm.t&lt;=_xlpm.hi), 1,
   IF(_xlpm.t&lt;_xlpm.lo, MAX(0, 1 - (_xlpm.lo - _xlpm.t)/(_xlpm.lo*0.5)),
             MAX(0, 1 - (_xlpm.t - _xlpm.hi)/(_xlpm.hi*0.5))
   )
 )
)</f>
        <v>0.4817168139</v>
      </c>
      <c r="G140" s="2">
        <f>LET(
 _xlpm.h,dss_report!$C140, _xlpm.lo,45, _xlpm.hi,70,
 IF(AND(_xlpm.h&gt;=_xlpm.lo, _xlpm.h&lt;=_xlpm.hi), 1,
   IF(_xlpm.h&lt;_xlpm.lo, MAX(0, 1 - (_xlpm.lo - _xlpm.h)/(_xlpm.lo*0.5)),
             MAX(0, 1 - (_xlpm.h - _xlpm.hi)/(_xlpm.hi*0.5))
   )
 )
)</f>
        <v>0.5265024123</v>
      </c>
      <c r="H140" s="2">
        <f t="shared" si="1"/>
        <v>0.4996310533</v>
      </c>
      <c r="I140" s="2" t="b">
        <f>IF(OR(dss_report!$D140=TRUE, H140&lt;0.3), TRUE, FALSE)</f>
        <v>1</v>
      </c>
      <c r="J140" s="2" t="b">
        <f>IF( OR( AND(dss_report!$B140&gt;31, dss_report!$C140&lt;38), H140&lt;0.25 ), TRUE, FALSE)</f>
        <v>1</v>
      </c>
      <c r="K140" s="2">
        <f t="shared" si="2"/>
        <v>1</v>
      </c>
      <c r="L140" s="2">
        <f t="shared" si="3"/>
        <v>0</v>
      </c>
      <c r="M140" s="2">
        <f t="shared" si="4"/>
        <v>0</v>
      </c>
      <c r="N140" s="2">
        <f t="shared" si="5"/>
        <v>0</v>
      </c>
      <c r="O140" s="2">
        <f t="shared" si="6"/>
        <v>1</v>
      </c>
      <c r="P140" s="2">
        <f t="shared" si="7"/>
        <v>1</v>
      </c>
    </row>
    <row r="141" ht="14.25" customHeight="1">
      <c r="A141" s="4">
        <v>45445.447916666664</v>
      </c>
      <c r="B141" s="1">
        <v>35.34872385661189</v>
      </c>
      <c r="C141" s="1">
        <v>27.29764652430851</v>
      </c>
      <c r="D141" s="1" t="b">
        <f>IF(AND(dss_report!$B141&gt;30, dss_report!$C141&lt;40), TRUE, FALSE)</f>
        <v>1</v>
      </c>
      <c r="E141" s="1"/>
      <c r="F141" s="2">
        <f>LET(
 _xlpm.t,dss_report!$B141, _xlpm.lo,18, _xlpm.hi,28,
 IF(AND(_xlpm.t&gt;=_xlpm.lo, _xlpm.t&lt;=_xlpm.hi), 1,
   IF(_xlpm.t&lt;_xlpm.lo, MAX(0, 1 - (_xlpm.lo - _xlpm.t)/(_xlpm.lo*0.5)),
             MAX(0, 1 - (_xlpm.t - _xlpm.hi)/(_xlpm.hi*0.5))
   )
 )
)</f>
        <v>0.4750911531</v>
      </c>
      <c r="G141" s="2">
        <f>LET(
 _xlpm.h,dss_report!$C141, _xlpm.lo,45, _xlpm.hi,70,
 IF(AND(_xlpm.h&gt;=_xlpm.lo, _xlpm.h&lt;=_xlpm.hi), 1,
   IF(_xlpm.h&lt;_xlpm.lo, MAX(0, 1 - (_xlpm.lo - _xlpm.h)/(_xlpm.lo*0.5)),
             MAX(0, 1 - (_xlpm.h - _xlpm.hi)/(_xlpm.hi*0.5))
   )
 )
)</f>
        <v>0.2132287344</v>
      </c>
      <c r="H141" s="2">
        <f t="shared" si="1"/>
        <v>0.3703461856</v>
      </c>
      <c r="I141" s="2" t="b">
        <f>IF(OR(dss_report!$D141=TRUE, H141&lt;0.3), TRUE, FALSE)</f>
        <v>1</v>
      </c>
      <c r="J141" s="2" t="b">
        <f>IF( OR( AND(dss_report!$B141&gt;31, dss_report!$C141&lt;38), H141&lt;0.25 ), TRUE, FALSE)</f>
        <v>1</v>
      </c>
      <c r="K141" s="2">
        <f t="shared" si="2"/>
        <v>1</v>
      </c>
      <c r="L141" s="2">
        <f t="shared" si="3"/>
        <v>0</v>
      </c>
      <c r="M141" s="2">
        <f t="shared" si="4"/>
        <v>0</v>
      </c>
      <c r="N141" s="2">
        <f t="shared" si="5"/>
        <v>0</v>
      </c>
      <c r="O141" s="2">
        <f t="shared" si="6"/>
        <v>1</v>
      </c>
      <c r="P141" s="2">
        <f t="shared" si="7"/>
        <v>1</v>
      </c>
    </row>
    <row r="142" ht="14.25" customHeight="1">
      <c r="A142" s="4">
        <v>45445.458333333336</v>
      </c>
      <c r="B142" s="1">
        <v>35.449256143800916</v>
      </c>
      <c r="C142" s="1">
        <v>34.261400138341436</v>
      </c>
      <c r="D142" s="1" t="b">
        <f>IF(AND(dss_report!$B142&gt;30, dss_report!$C142&lt;40), TRUE, FALSE)</f>
        <v>1</v>
      </c>
      <c r="E142" s="1"/>
      <c r="F142" s="2">
        <f>LET(
 _xlpm.t,dss_report!$B142, _xlpm.lo,18, _xlpm.hi,28,
 IF(AND(_xlpm.t&gt;=_xlpm.lo, _xlpm.t&lt;=_xlpm.hi), 1,
   IF(_xlpm.t&lt;_xlpm.lo, MAX(0, 1 - (_xlpm.lo - _xlpm.t)/(_xlpm.lo*0.5)),
             MAX(0, 1 - (_xlpm.t - _xlpm.hi)/(_xlpm.hi*0.5))
   )
 )
)</f>
        <v>0.4679102754</v>
      </c>
      <c r="G142" s="2">
        <f>LET(
 _xlpm.h,dss_report!$C142, _xlpm.lo,45, _xlpm.hi,70,
 IF(AND(_xlpm.h&gt;=_xlpm.lo, _xlpm.h&lt;=_xlpm.hi), 1,
   IF(_xlpm.h&lt;_xlpm.lo, MAX(0, 1 - (_xlpm.lo - _xlpm.h)/(_xlpm.lo*0.5)),
             MAX(0, 1 - (_xlpm.h - _xlpm.hi)/(_xlpm.hi*0.5))
   )
 )
)</f>
        <v>0.522728895</v>
      </c>
      <c r="H142" s="2">
        <f t="shared" si="1"/>
        <v>0.4898377233</v>
      </c>
      <c r="I142" s="2" t="b">
        <f>IF(OR(dss_report!$D142=TRUE, H142&lt;0.3), TRUE, FALSE)</f>
        <v>1</v>
      </c>
      <c r="J142" s="2" t="b">
        <f>IF( OR( AND(dss_report!$B142&gt;31, dss_report!$C142&lt;38), H142&lt;0.25 ), TRUE, FALSE)</f>
        <v>1</v>
      </c>
      <c r="K142" s="2">
        <f t="shared" si="2"/>
        <v>1</v>
      </c>
      <c r="L142" s="2">
        <f t="shared" si="3"/>
        <v>0</v>
      </c>
      <c r="M142" s="2">
        <f t="shared" si="4"/>
        <v>0</v>
      </c>
      <c r="N142" s="2">
        <f t="shared" si="5"/>
        <v>0</v>
      </c>
      <c r="O142" s="2">
        <f t="shared" si="6"/>
        <v>1</v>
      </c>
      <c r="P142" s="2">
        <f t="shared" si="7"/>
        <v>1</v>
      </c>
    </row>
    <row r="143" ht="14.25" customHeight="1">
      <c r="A143" s="4">
        <v>45445.46875</v>
      </c>
      <c r="B143" s="1">
        <v>33.95480087573469</v>
      </c>
      <c r="C143" s="1">
        <v>34.15889429457241</v>
      </c>
      <c r="D143" s="1" t="b">
        <f>IF(AND(dss_report!$B143&gt;30, dss_report!$C143&lt;40), TRUE, FALSE)</f>
        <v>1</v>
      </c>
      <c r="E143" s="1"/>
      <c r="F143" s="2">
        <f>LET(
 _xlpm.t,dss_report!$B143, _xlpm.lo,18, _xlpm.hi,28,
 IF(AND(_xlpm.t&gt;=_xlpm.lo, _xlpm.t&lt;=_xlpm.hi), 1,
   IF(_xlpm.t&lt;_xlpm.lo, MAX(0, 1 - (_xlpm.lo - _xlpm.t)/(_xlpm.lo*0.5)),
             MAX(0, 1 - (_xlpm.t - _xlpm.hi)/(_xlpm.hi*0.5))
   )
 )
)</f>
        <v>0.5746570803</v>
      </c>
      <c r="G143" s="2">
        <f>LET(
 _xlpm.h,dss_report!$C143, _xlpm.lo,45, _xlpm.hi,70,
 IF(AND(_xlpm.h&gt;=_xlpm.lo, _xlpm.h&lt;=_xlpm.hi), 1,
   IF(_xlpm.h&lt;_xlpm.lo, MAX(0, 1 - (_xlpm.lo - _xlpm.h)/(_xlpm.lo*0.5)),
             MAX(0, 1 - (_xlpm.h - _xlpm.hi)/(_xlpm.hi*0.5))
   )
 )
)</f>
        <v>0.5181730798</v>
      </c>
      <c r="H143" s="2">
        <f t="shared" si="1"/>
        <v>0.5520634801</v>
      </c>
      <c r="I143" s="2" t="b">
        <f>IF(OR(dss_report!$D143=TRUE, H143&lt;0.3), TRUE, FALSE)</f>
        <v>1</v>
      </c>
      <c r="J143" s="2" t="b">
        <f>IF( OR( AND(dss_report!$B143&gt;31, dss_report!$C143&lt;38), H143&lt;0.25 ), TRUE, FALSE)</f>
        <v>1</v>
      </c>
      <c r="K143" s="2">
        <f t="shared" si="2"/>
        <v>1</v>
      </c>
      <c r="L143" s="2">
        <f t="shared" si="3"/>
        <v>0</v>
      </c>
      <c r="M143" s="2">
        <f t="shared" si="4"/>
        <v>0</v>
      </c>
      <c r="N143" s="2">
        <f t="shared" si="5"/>
        <v>0</v>
      </c>
      <c r="O143" s="2">
        <f t="shared" si="6"/>
        <v>1</v>
      </c>
      <c r="P143" s="2">
        <f t="shared" si="7"/>
        <v>1</v>
      </c>
    </row>
    <row r="144" ht="14.25" customHeight="1">
      <c r="A144" s="4">
        <v>45445.479166666664</v>
      </c>
      <c r="B144" s="1">
        <v>35.557122628678904</v>
      </c>
      <c r="C144" s="1">
        <v>32.29520161077274</v>
      </c>
      <c r="D144" s="1" t="b">
        <f>IF(AND(dss_report!$B144&gt;30, dss_report!$C144&lt;40), TRUE, FALSE)</f>
        <v>1</v>
      </c>
      <c r="E144" s="1"/>
      <c r="F144" s="2">
        <f>LET(
 _xlpm.t,dss_report!$B144, _xlpm.lo,18, _xlpm.hi,28,
 IF(AND(_xlpm.t&gt;=_xlpm.lo, _xlpm.t&lt;=_xlpm.hi), 1,
   IF(_xlpm.t&lt;_xlpm.lo, MAX(0, 1 - (_xlpm.lo - _xlpm.t)/(_xlpm.lo*0.5)),
             MAX(0, 1 - (_xlpm.t - _xlpm.hi)/(_xlpm.hi*0.5))
   )
 )
)</f>
        <v>0.4602055265</v>
      </c>
      <c r="G144" s="2">
        <f>LET(
 _xlpm.h,dss_report!$C144, _xlpm.lo,45, _xlpm.hi,70,
 IF(AND(_xlpm.h&gt;=_xlpm.lo, _xlpm.h&lt;=_xlpm.hi), 1,
   IF(_xlpm.h&lt;_xlpm.lo, MAX(0, 1 - (_xlpm.lo - _xlpm.h)/(_xlpm.lo*0.5)),
             MAX(0, 1 - (_xlpm.h - _xlpm.hi)/(_xlpm.hi*0.5))
   )
 )
)</f>
        <v>0.4353422938</v>
      </c>
      <c r="H144" s="2">
        <f t="shared" si="1"/>
        <v>0.4502602334</v>
      </c>
      <c r="I144" s="2" t="b">
        <f>IF(OR(dss_report!$D144=TRUE, H144&lt;0.3), TRUE, FALSE)</f>
        <v>1</v>
      </c>
      <c r="J144" s="2" t="b">
        <f>IF( OR( AND(dss_report!$B144&gt;31, dss_report!$C144&lt;38), H144&lt;0.25 ), TRUE, FALSE)</f>
        <v>1</v>
      </c>
      <c r="K144" s="2">
        <f t="shared" si="2"/>
        <v>1</v>
      </c>
      <c r="L144" s="2">
        <f t="shared" si="3"/>
        <v>0</v>
      </c>
      <c r="M144" s="2">
        <f t="shared" si="4"/>
        <v>0</v>
      </c>
      <c r="N144" s="2">
        <f t="shared" si="5"/>
        <v>0</v>
      </c>
      <c r="O144" s="2">
        <f t="shared" si="6"/>
        <v>1</v>
      </c>
      <c r="P144" s="2">
        <f t="shared" si="7"/>
        <v>1</v>
      </c>
    </row>
    <row r="145" ht="14.25" customHeight="1">
      <c r="A145" s="4">
        <v>45445.489583333336</v>
      </c>
      <c r="B145" s="1">
        <v>35.12518296865357</v>
      </c>
      <c r="C145" s="1">
        <v>31.75870847027195</v>
      </c>
      <c r="D145" s="1" t="b">
        <f>IF(AND(dss_report!$B145&gt;30, dss_report!$C145&lt;40), TRUE, FALSE)</f>
        <v>1</v>
      </c>
      <c r="E145" s="1"/>
      <c r="F145" s="2">
        <f>LET(
 _xlpm.t,dss_report!$B145, _xlpm.lo,18, _xlpm.hi,28,
 IF(AND(_xlpm.t&gt;=_xlpm.lo, _xlpm.t&lt;=_xlpm.hi), 1,
   IF(_xlpm.t&lt;_xlpm.lo, MAX(0, 1 - (_xlpm.lo - _xlpm.t)/(_xlpm.lo*0.5)),
             MAX(0, 1 - (_xlpm.t - _xlpm.hi)/(_xlpm.hi*0.5))
   )
 )
)</f>
        <v>0.4910583594</v>
      </c>
      <c r="G145" s="2">
        <f>LET(
 _xlpm.h,dss_report!$C145, _xlpm.lo,45, _xlpm.hi,70,
 IF(AND(_xlpm.h&gt;=_xlpm.lo, _xlpm.h&lt;=_xlpm.hi), 1,
   IF(_xlpm.h&lt;_xlpm.lo, MAX(0, 1 - (_xlpm.lo - _xlpm.h)/(_xlpm.lo*0.5)),
             MAX(0, 1 - (_xlpm.h - _xlpm.hi)/(_xlpm.hi*0.5))
   )
 )
)</f>
        <v>0.4114981542</v>
      </c>
      <c r="H145" s="2">
        <f t="shared" si="1"/>
        <v>0.4592342773</v>
      </c>
      <c r="I145" s="2" t="b">
        <f>IF(OR(dss_report!$D145=TRUE, H145&lt;0.3), TRUE, FALSE)</f>
        <v>1</v>
      </c>
      <c r="J145" s="2" t="b">
        <f>IF( OR( AND(dss_report!$B145&gt;31, dss_report!$C145&lt;38), H145&lt;0.25 ), TRUE, FALSE)</f>
        <v>1</v>
      </c>
      <c r="K145" s="2">
        <f t="shared" si="2"/>
        <v>1</v>
      </c>
      <c r="L145" s="2">
        <f t="shared" si="3"/>
        <v>0</v>
      </c>
      <c r="M145" s="2">
        <f t="shared" si="4"/>
        <v>0</v>
      </c>
      <c r="N145" s="2">
        <f t="shared" si="5"/>
        <v>0</v>
      </c>
      <c r="O145" s="2">
        <f t="shared" si="6"/>
        <v>1</v>
      </c>
      <c r="P145" s="2">
        <f t="shared" si="7"/>
        <v>1</v>
      </c>
    </row>
    <row r="146" ht="14.25" customHeight="1">
      <c r="A146" s="4">
        <v>45445.5</v>
      </c>
      <c r="B146" s="1">
        <v>34.50380456501687</v>
      </c>
      <c r="C146" s="1">
        <v>34.66340260523877</v>
      </c>
      <c r="D146" s="1" t="b">
        <f>IF(AND(dss_report!$B146&gt;30, dss_report!$C146&lt;40), TRUE, FALSE)</f>
        <v>1</v>
      </c>
      <c r="E146" s="1"/>
      <c r="F146" s="2">
        <f>LET(
 _xlpm.t,dss_report!$B146, _xlpm.lo,18, _xlpm.hi,28,
 IF(AND(_xlpm.t&gt;=_xlpm.lo, _xlpm.t&lt;=_xlpm.hi), 1,
   IF(_xlpm.t&lt;_xlpm.lo, MAX(0, 1 - (_xlpm.lo - _xlpm.t)/(_xlpm.lo*0.5)),
             MAX(0, 1 - (_xlpm.t - _xlpm.hi)/(_xlpm.hi*0.5))
   )
 )
)</f>
        <v>0.5354425311</v>
      </c>
      <c r="G146" s="2">
        <f>LET(
 _xlpm.h,dss_report!$C146, _xlpm.lo,45, _xlpm.hi,70,
 IF(AND(_xlpm.h&gt;=_xlpm.lo, _xlpm.h&lt;=_xlpm.hi), 1,
   IF(_xlpm.h&lt;_xlpm.lo, MAX(0, 1 - (_xlpm.lo - _xlpm.h)/(_xlpm.lo*0.5)),
             MAX(0, 1 - (_xlpm.h - _xlpm.hi)/(_xlpm.hi*0.5))
   )
 )
)</f>
        <v>0.5405956713</v>
      </c>
      <c r="H146" s="2">
        <f t="shared" si="1"/>
        <v>0.5375037872</v>
      </c>
      <c r="I146" s="2" t="b">
        <f>IF(OR(dss_report!$D146=TRUE, H146&lt;0.3), TRUE, FALSE)</f>
        <v>1</v>
      </c>
      <c r="J146" s="2" t="b">
        <f>IF( OR( AND(dss_report!$B146&gt;31, dss_report!$C146&lt;38), H146&lt;0.25 ), TRUE, FALSE)</f>
        <v>1</v>
      </c>
      <c r="K146" s="2">
        <f t="shared" si="2"/>
        <v>1</v>
      </c>
      <c r="L146" s="2">
        <f t="shared" si="3"/>
        <v>0</v>
      </c>
      <c r="M146" s="2">
        <f t="shared" si="4"/>
        <v>0</v>
      </c>
      <c r="N146" s="2">
        <f t="shared" si="5"/>
        <v>0</v>
      </c>
      <c r="O146" s="2">
        <f t="shared" si="6"/>
        <v>1</v>
      </c>
      <c r="P146" s="2">
        <f t="shared" si="7"/>
        <v>1</v>
      </c>
    </row>
    <row r="147" ht="14.25" customHeight="1">
      <c r="A147" s="4">
        <v>45445.510416666664</v>
      </c>
      <c r="B147" s="1">
        <v>34.33179121571757</v>
      </c>
      <c r="C147" s="1">
        <v>34.84155040794322</v>
      </c>
      <c r="D147" s="1" t="b">
        <f>IF(AND(dss_report!$B147&gt;30, dss_report!$C147&lt;40), TRUE, FALSE)</f>
        <v>1</v>
      </c>
      <c r="E147" s="1"/>
      <c r="F147" s="2">
        <f>LET(
 _xlpm.t,dss_report!$B147, _xlpm.lo,18, _xlpm.hi,28,
 IF(AND(_xlpm.t&gt;=_xlpm.lo, _xlpm.t&lt;=_xlpm.hi), 1,
   IF(_xlpm.t&lt;_xlpm.lo, MAX(0, 1 - (_xlpm.lo - _xlpm.t)/(_xlpm.lo*0.5)),
             MAX(0, 1 - (_xlpm.t - _xlpm.hi)/(_xlpm.hi*0.5))
   )
 )
)</f>
        <v>0.5477291989</v>
      </c>
      <c r="G147" s="2">
        <f>LET(
 _xlpm.h,dss_report!$C147, _xlpm.lo,45, _xlpm.hi,70,
 IF(AND(_xlpm.h&gt;=_xlpm.lo, _xlpm.h&lt;=_xlpm.hi), 1,
   IF(_xlpm.h&lt;_xlpm.lo, MAX(0, 1 - (_xlpm.lo - _xlpm.h)/(_xlpm.lo*0.5)),
             MAX(0, 1 - (_xlpm.h - _xlpm.hi)/(_xlpm.hi*0.5))
   )
 )
)</f>
        <v>0.5485133515</v>
      </c>
      <c r="H147" s="2">
        <f t="shared" si="1"/>
        <v>0.5480428599</v>
      </c>
      <c r="I147" s="2" t="b">
        <f>IF(OR(dss_report!$D147=TRUE, H147&lt;0.3), TRUE, FALSE)</f>
        <v>1</v>
      </c>
      <c r="J147" s="2" t="b">
        <f>IF( OR( AND(dss_report!$B147&gt;31, dss_report!$C147&lt;38), H147&lt;0.25 ), TRUE, FALSE)</f>
        <v>1</v>
      </c>
      <c r="K147" s="2">
        <f t="shared" si="2"/>
        <v>1</v>
      </c>
      <c r="L147" s="2">
        <f t="shared" si="3"/>
        <v>0</v>
      </c>
      <c r="M147" s="2">
        <f t="shared" si="4"/>
        <v>0</v>
      </c>
      <c r="N147" s="2">
        <f t="shared" si="5"/>
        <v>0</v>
      </c>
      <c r="O147" s="2">
        <f t="shared" si="6"/>
        <v>1</v>
      </c>
      <c r="P147" s="2">
        <f t="shared" si="7"/>
        <v>1</v>
      </c>
    </row>
    <row r="148" ht="14.25" customHeight="1">
      <c r="A148" s="4">
        <v>45445.520833333336</v>
      </c>
      <c r="B148" s="1">
        <v>34.80415158153433</v>
      </c>
      <c r="C148" s="1">
        <v>34.146090207535806</v>
      </c>
      <c r="D148" s="1" t="b">
        <f>IF(AND(dss_report!$B148&gt;30, dss_report!$C148&lt;40), TRUE, FALSE)</f>
        <v>1</v>
      </c>
      <c r="E148" s="1"/>
      <c r="F148" s="2">
        <f>LET(
 _xlpm.t,dss_report!$B148, _xlpm.lo,18, _xlpm.hi,28,
 IF(AND(_xlpm.t&gt;=_xlpm.lo, _xlpm.t&lt;=_xlpm.hi), 1,
   IF(_xlpm.t&lt;_xlpm.lo, MAX(0, 1 - (_xlpm.lo - _xlpm.t)/(_xlpm.lo*0.5)),
             MAX(0, 1 - (_xlpm.t - _xlpm.hi)/(_xlpm.hi*0.5))
   )
 )
)</f>
        <v>0.5139891727</v>
      </c>
      <c r="G148" s="2">
        <f>LET(
 _xlpm.h,dss_report!$C148, _xlpm.lo,45, _xlpm.hi,70,
 IF(AND(_xlpm.h&gt;=_xlpm.lo, _xlpm.h&lt;=_xlpm.hi), 1,
   IF(_xlpm.h&lt;_xlpm.lo, MAX(0, 1 - (_xlpm.lo - _xlpm.h)/(_xlpm.lo*0.5)),
             MAX(0, 1 - (_xlpm.h - _xlpm.hi)/(_xlpm.hi*0.5))
   )
 )
)</f>
        <v>0.5176040092</v>
      </c>
      <c r="H148" s="2">
        <f t="shared" si="1"/>
        <v>0.5154351073</v>
      </c>
      <c r="I148" s="2" t="b">
        <f>IF(OR(dss_report!$D148=TRUE, H148&lt;0.3), TRUE, FALSE)</f>
        <v>1</v>
      </c>
      <c r="J148" s="2" t="b">
        <f>IF( OR( AND(dss_report!$B148&gt;31, dss_report!$C148&lt;38), H148&lt;0.25 ), TRUE, FALSE)</f>
        <v>1</v>
      </c>
      <c r="K148" s="2">
        <f t="shared" si="2"/>
        <v>1</v>
      </c>
      <c r="L148" s="2">
        <f t="shared" si="3"/>
        <v>0</v>
      </c>
      <c r="M148" s="2">
        <f t="shared" si="4"/>
        <v>0</v>
      </c>
      <c r="N148" s="2">
        <f t="shared" si="5"/>
        <v>0</v>
      </c>
      <c r="O148" s="2">
        <f t="shared" si="6"/>
        <v>1</v>
      </c>
      <c r="P148" s="2">
        <f t="shared" si="7"/>
        <v>1</v>
      </c>
    </row>
    <row r="149" ht="14.25" customHeight="1">
      <c r="A149" s="4">
        <v>45445.53125</v>
      </c>
      <c r="B149" s="1">
        <v>35.35722001172165</v>
      </c>
      <c r="C149" s="1">
        <v>29.84361950639762</v>
      </c>
      <c r="D149" s="1" t="b">
        <f>IF(AND(dss_report!$B149&gt;30, dss_report!$C149&lt;40), TRUE, FALSE)</f>
        <v>1</v>
      </c>
      <c r="E149" s="1"/>
      <c r="F149" s="2">
        <f>LET(
 _xlpm.t,dss_report!$B149, _xlpm.lo,18, _xlpm.hi,28,
 IF(AND(_xlpm.t&gt;=_xlpm.lo, _xlpm.t&lt;=_xlpm.hi), 1,
   IF(_xlpm.t&lt;_xlpm.lo, MAX(0, 1 - (_xlpm.lo - _xlpm.t)/(_xlpm.lo*0.5)),
             MAX(0, 1 - (_xlpm.t - _xlpm.hi)/(_xlpm.hi*0.5))
   )
 )
)</f>
        <v>0.4744842849</v>
      </c>
      <c r="G149" s="2">
        <f>LET(
 _xlpm.h,dss_report!$C149, _xlpm.lo,45, _xlpm.hi,70,
 IF(AND(_xlpm.h&gt;=_xlpm.lo, _xlpm.h&lt;=_xlpm.hi), 1,
   IF(_xlpm.h&lt;_xlpm.lo, MAX(0, 1 - (_xlpm.lo - _xlpm.h)/(_xlpm.lo*0.5)),
             MAX(0, 1 - (_xlpm.h - _xlpm.hi)/(_xlpm.hi*0.5))
   )
 )
)</f>
        <v>0.3263830892</v>
      </c>
      <c r="H149" s="2">
        <f t="shared" si="1"/>
        <v>0.4152438066</v>
      </c>
      <c r="I149" s="2" t="b">
        <f>IF(OR(dss_report!$D149=TRUE, H149&lt;0.3), TRUE, FALSE)</f>
        <v>1</v>
      </c>
      <c r="J149" s="2" t="b">
        <f>IF( OR( AND(dss_report!$B149&gt;31, dss_report!$C149&lt;38), H149&lt;0.25 ), TRUE, FALSE)</f>
        <v>1</v>
      </c>
      <c r="K149" s="2">
        <f t="shared" si="2"/>
        <v>1</v>
      </c>
      <c r="L149" s="2">
        <f t="shared" si="3"/>
        <v>0</v>
      </c>
      <c r="M149" s="2">
        <f t="shared" si="4"/>
        <v>0</v>
      </c>
      <c r="N149" s="2">
        <f t="shared" si="5"/>
        <v>0</v>
      </c>
      <c r="O149" s="2">
        <f t="shared" si="6"/>
        <v>1</v>
      </c>
      <c r="P149" s="2">
        <f t="shared" si="7"/>
        <v>1</v>
      </c>
    </row>
    <row r="150" ht="14.25" customHeight="1">
      <c r="A150" s="4">
        <v>45445.541666666664</v>
      </c>
      <c r="B150" s="1">
        <v>35.31933953656089</v>
      </c>
      <c r="C150" s="1">
        <v>32.0573194168689</v>
      </c>
      <c r="D150" s="1" t="b">
        <f>IF(AND(dss_report!$B150&gt;30, dss_report!$C150&lt;40), TRUE, FALSE)</f>
        <v>1</v>
      </c>
      <c r="E150" s="1"/>
      <c r="F150" s="2">
        <f>LET(
 _xlpm.t,dss_report!$B150, _xlpm.lo,18, _xlpm.hi,28,
 IF(AND(_xlpm.t&gt;=_xlpm.lo, _xlpm.t&lt;=_xlpm.hi), 1,
   IF(_xlpm.t&lt;_xlpm.lo, MAX(0, 1 - (_xlpm.lo - _xlpm.t)/(_xlpm.lo*0.5)),
             MAX(0, 1 - (_xlpm.t - _xlpm.hi)/(_xlpm.hi*0.5))
   )
 )
)</f>
        <v>0.4771900331</v>
      </c>
      <c r="G150" s="2">
        <f>LET(
 _xlpm.h,dss_report!$C150, _xlpm.lo,45, _xlpm.hi,70,
 IF(AND(_xlpm.h&gt;=_xlpm.lo, _xlpm.h&lt;=_xlpm.hi), 1,
   IF(_xlpm.h&lt;_xlpm.lo, MAX(0, 1 - (_xlpm.lo - _xlpm.h)/(_xlpm.lo*0.5)),
             MAX(0, 1 - (_xlpm.h - _xlpm.hi)/(_xlpm.hi*0.5))
   )
 )
)</f>
        <v>0.4247697519</v>
      </c>
      <c r="H150" s="2">
        <f t="shared" si="1"/>
        <v>0.4562219206</v>
      </c>
      <c r="I150" s="2" t="b">
        <f>IF(OR(dss_report!$D150=TRUE, H150&lt;0.3), TRUE, FALSE)</f>
        <v>1</v>
      </c>
      <c r="J150" s="2" t="b">
        <f>IF( OR( AND(dss_report!$B150&gt;31, dss_report!$C150&lt;38), H150&lt;0.25 ), TRUE, FALSE)</f>
        <v>1</v>
      </c>
      <c r="K150" s="2">
        <f t="shared" si="2"/>
        <v>1</v>
      </c>
      <c r="L150" s="2">
        <f t="shared" si="3"/>
        <v>0</v>
      </c>
      <c r="M150" s="2">
        <f t="shared" si="4"/>
        <v>0</v>
      </c>
      <c r="N150" s="2">
        <f t="shared" si="5"/>
        <v>0</v>
      </c>
      <c r="O150" s="2">
        <f t="shared" si="6"/>
        <v>1</v>
      </c>
      <c r="P150" s="2">
        <f t="shared" si="7"/>
        <v>1</v>
      </c>
    </row>
    <row r="151" ht="14.25" customHeight="1">
      <c r="A151" s="4">
        <v>45445.552083333336</v>
      </c>
      <c r="B151" s="1">
        <v>36.44628839051287</v>
      </c>
      <c r="C151" s="1">
        <v>28.12362236902291</v>
      </c>
      <c r="D151" s="1" t="b">
        <f>IF(AND(dss_report!$B151&gt;30, dss_report!$C151&lt;40), TRUE, FALSE)</f>
        <v>1</v>
      </c>
      <c r="E151" s="1"/>
      <c r="F151" s="2">
        <f>LET(
 _xlpm.t,dss_report!$B151, _xlpm.lo,18, _xlpm.hi,28,
 IF(AND(_xlpm.t&gt;=_xlpm.lo, _xlpm.t&lt;=_xlpm.hi), 1,
   IF(_xlpm.t&lt;_xlpm.lo, MAX(0, 1 - (_xlpm.lo - _xlpm.t)/(_xlpm.lo*0.5)),
             MAX(0, 1 - (_xlpm.t - _xlpm.hi)/(_xlpm.hi*0.5))
   )
 )
)</f>
        <v>0.3966936864</v>
      </c>
      <c r="G151" s="2">
        <f>LET(
 _xlpm.h,dss_report!$C151, _xlpm.lo,45, _xlpm.hi,70,
 IF(AND(_xlpm.h&gt;=_xlpm.lo, _xlpm.h&lt;=_xlpm.hi), 1,
   IF(_xlpm.h&lt;_xlpm.lo, MAX(0, 1 - (_xlpm.lo - _xlpm.h)/(_xlpm.lo*0.5)),
             MAX(0, 1 - (_xlpm.h - _xlpm.hi)/(_xlpm.hi*0.5))
   )
 )
)</f>
        <v>0.249938772</v>
      </c>
      <c r="H151" s="2">
        <f t="shared" si="1"/>
        <v>0.3379917206</v>
      </c>
      <c r="I151" s="2" t="b">
        <f>IF(OR(dss_report!$D151=TRUE, H151&lt;0.3), TRUE, FALSE)</f>
        <v>1</v>
      </c>
      <c r="J151" s="2" t="b">
        <f>IF( OR( AND(dss_report!$B151&gt;31, dss_report!$C151&lt;38), H151&lt;0.25 ), TRUE, FALSE)</f>
        <v>1</v>
      </c>
      <c r="K151" s="2">
        <f t="shared" si="2"/>
        <v>1</v>
      </c>
      <c r="L151" s="2">
        <f t="shared" si="3"/>
        <v>0</v>
      </c>
      <c r="M151" s="2">
        <f t="shared" si="4"/>
        <v>0</v>
      </c>
      <c r="N151" s="2">
        <f t="shared" si="5"/>
        <v>0</v>
      </c>
      <c r="O151" s="2">
        <f t="shared" si="6"/>
        <v>1</v>
      </c>
      <c r="P151" s="2">
        <f t="shared" si="7"/>
        <v>1</v>
      </c>
    </row>
    <row r="152" ht="14.25" customHeight="1">
      <c r="A152" s="4">
        <v>45445.5625</v>
      </c>
      <c r="B152" s="1">
        <v>34.334825084639114</v>
      </c>
      <c r="C152" s="1">
        <v>28.29933067781662</v>
      </c>
      <c r="D152" s="1" t="b">
        <f>IF(AND(dss_report!$B152&gt;30, dss_report!$C152&lt;40), TRUE, FALSE)</f>
        <v>1</v>
      </c>
      <c r="E152" s="1"/>
      <c r="F152" s="2">
        <f>LET(
 _xlpm.t,dss_report!$B152, _xlpm.lo,18, _xlpm.hi,28,
 IF(AND(_xlpm.t&gt;=_xlpm.lo, _xlpm.t&lt;=_xlpm.hi), 1,
   IF(_xlpm.t&lt;_xlpm.lo, MAX(0, 1 - (_xlpm.lo - _xlpm.t)/(_xlpm.lo*0.5)),
             MAX(0, 1 - (_xlpm.t - _xlpm.hi)/(_xlpm.hi*0.5))
   )
 )
)</f>
        <v>0.547512494</v>
      </c>
      <c r="G152" s="2">
        <f>LET(
 _xlpm.h,dss_report!$C152, _xlpm.lo,45, _xlpm.hi,70,
 IF(AND(_xlpm.h&gt;=_xlpm.lo, _xlpm.h&lt;=_xlpm.hi), 1,
   IF(_xlpm.h&lt;_xlpm.lo, MAX(0, 1 - (_xlpm.lo - _xlpm.h)/(_xlpm.lo*0.5)),
             MAX(0, 1 - (_xlpm.h - _xlpm.hi)/(_xlpm.hi*0.5))
   )
 )
)</f>
        <v>0.2577480301</v>
      </c>
      <c r="H152" s="2">
        <f t="shared" si="1"/>
        <v>0.4316067084</v>
      </c>
      <c r="I152" s="2" t="b">
        <f>IF(OR(dss_report!$D152=TRUE, H152&lt;0.3), TRUE, FALSE)</f>
        <v>1</v>
      </c>
      <c r="J152" s="2" t="b">
        <f>IF( OR( AND(dss_report!$B152&gt;31, dss_report!$C152&lt;38), H152&lt;0.25 ), TRUE, FALSE)</f>
        <v>1</v>
      </c>
      <c r="K152" s="2">
        <f t="shared" si="2"/>
        <v>1</v>
      </c>
      <c r="L152" s="2">
        <f t="shared" si="3"/>
        <v>0</v>
      </c>
      <c r="M152" s="2">
        <f t="shared" si="4"/>
        <v>0</v>
      </c>
      <c r="N152" s="2">
        <f t="shared" si="5"/>
        <v>0</v>
      </c>
      <c r="O152" s="2">
        <f t="shared" si="6"/>
        <v>1</v>
      </c>
      <c r="P152" s="2">
        <f t="shared" si="7"/>
        <v>1</v>
      </c>
    </row>
    <row r="153" ht="14.25" customHeight="1">
      <c r="A153" s="4">
        <v>45445.572916666664</v>
      </c>
      <c r="B153" s="1">
        <v>35.115986194631915</v>
      </c>
      <c r="C153" s="1">
        <v>31.095619958637947</v>
      </c>
      <c r="D153" s="1" t="b">
        <f>IF(AND(dss_report!$B153&gt;30, dss_report!$C153&lt;40), TRUE, FALSE)</f>
        <v>1</v>
      </c>
      <c r="E153" s="1"/>
      <c r="F153" s="2">
        <f>LET(
 _xlpm.t,dss_report!$B153, _xlpm.lo,18, _xlpm.hi,28,
 IF(AND(_xlpm.t&gt;=_xlpm.lo, _xlpm.t&lt;=_xlpm.hi), 1,
   IF(_xlpm.t&lt;_xlpm.lo, MAX(0, 1 - (_xlpm.lo - _xlpm.t)/(_xlpm.lo*0.5)),
             MAX(0, 1 - (_xlpm.t - _xlpm.hi)/(_xlpm.hi*0.5))
   )
 )
)</f>
        <v>0.4917152718</v>
      </c>
      <c r="G153" s="2">
        <f>LET(
 _xlpm.h,dss_report!$C153, _xlpm.lo,45, _xlpm.hi,70,
 IF(AND(_xlpm.h&gt;=_xlpm.lo, _xlpm.h&lt;=_xlpm.hi), 1,
   IF(_xlpm.h&lt;_xlpm.lo, MAX(0, 1 - (_xlpm.lo - _xlpm.h)/(_xlpm.lo*0.5)),
             MAX(0, 1 - (_xlpm.h - _xlpm.hi)/(_xlpm.hi*0.5))
   )
 )
)</f>
        <v>0.3820275537</v>
      </c>
      <c r="H153" s="2">
        <f t="shared" si="1"/>
        <v>0.4478401846</v>
      </c>
      <c r="I153" s="2" t="b">
        <f>IF(OR(dss_report!$D153=TRUE, H153&lt;0.3), TRUE, FALSE)</f>
        <v>1</v>
      </c>
      <c r="J153" s="2" t="b">
        <f>IF( OR( AND(dss_report!$B153&gt;31, dss_report!$C153&lt;38), H153&lt;0.25 ), TRUE, FALSE)</f>
        <v>1</v>
      </c>
      <c r="K153" s="2">
        <f t="shared" si="2"/>
        <v>1</v>
      </c>
      <c r="L153" s="2">
        <f t="shared" si="3"/>
        <v>0</v>
      </c>
      <c r="M153" s="2">
        <f t="shared" si="4"/>
        <v>0</v>
      </c>
      <c r="N153" s="2">
        <f t="shared" si="5"/>
        <v>0</v>
      </c>
      <c r="O153" s="2">
        <f t="shared" si="6"/>
        <v>1</v>
      </c>
      <c r="P153" s="2">
        <f t="shared" si="7"/>
        <v>1</v>
      </c>
    </row>
    <row r="154" ht="14.25" customHeight="1">
      <c r="A154" s="4">
        <v>45445.583333333336</v>
      </c>
      <c r="B154" s="1">
        <v>34.27804419357793</v>
      </c>
      <c r="C154" s="1">
        <v>29.602255647300407</v>
      </c>
      <c r="D154" s="1" t="b">
        <f>IF(AND(dss_report!$B154&gt;30, dss_report!$C154&lt;40), TRUE, FALSE)</f>
        <v>1</v>
      </c>
      <c r="E154" s="1"/>
      <c r="F154" s="2">
        <f>LET(
 _xlpm.t,dss_report!$B154, _xlpm.lo,18, _xlpm.hi,28,
 IF(AND(_xlpm.t&gt;=_xlpm.lo, _xlpm.t&lt;=_xlpm.hi), 1,
   IF(_xlpm.t&lt;_xlpm.lo, MAX(0, 1 - (_xlpm.lo - _xlpm.t)/(_xlpm.lo*0.5)),
             MAX(0, 1 - (_xlpm.t - _xlpm.hi)/(_xlpm.hi*0.5))
   )
 )
)</f>
        <v>0.5515682719</v>
      </c>
      <c r="G154" s="2">
        <f>LET(
 _xlpm.h,dss_report!$C154, _xlpm.lo,45, _xlpm.hi,70,
 IF(AND(_xlpm.h&gt;=_xlpm.lo, _xlpm.h&lt;=_xlpm.hi), 1,
   IF(_xlpm.h&lt;_xlpm.lo, MAX(0, 1 - (_xlpm.lo - _xlpm.h)/(_xlpm.lo*0.5)),
             MAX(0, 1 - (_xlpm.h - _xlpm.hi)/(_xlpm.hi*0.5))
   )
 )
)</f>
        <v>0.3156558065</v>
      </c>
      <c r="H154" s="2">
        <f t="shared" si="1"/>
        <v>0.4572032858</v>
      </c>
      <c r="I154" s="2" t="b">
        <f>IF(OR(dss_report!$D154=TRUE, H154&lt;0.3), TRUE, FALSE)</f>
        <v>1</v>
      </c>
      <c r="J154" s="2" t="b">
        <f>IF( OR( AND(dss_report!$B154&gt;31, dss_report!$C154&lt;38), H154&lt;0.25 ), TRUE, FALSE)</f>
        <v>1</v>
      </c>
      <c r="K154" s="2">
        <f t="shared" si="2"/>
        <v>1</v>
      </c>
      <c r="L154" s="2">
        <f t="shared" si="3"/>
        <v>0</v>
      </c>
      <c r="M154" s="2">
        <f t="shared" si="4"/>
        <v>0</v>
      </c>
      <c r="N154" s="2">
        <f t="shared" si="5"/>
        <v>0</v>
      </c>
      <c r="O154" s="2">
        <f t="shared" si="6"/>
        <v>1</v>
      </c>
      <c r="P154" s="2">
        <f t="shared" si="7"/>
        <v>1</v>
      </c>
    </row>
    <row r="155" ht="14.25" customHeight="1">
      <c r="A155" s="4">
        <v>45445.59375</v>
      </c>
      <c r="B155" s="1">
        <v>35.24896577412118</v>
      </c>
      <c r="C155" s="1">
        <v>31.513169139307003</v>
      </c>
      <c r="D155" s="1" t="b">
        <f>IF(AND(dss_report!$B155&gt;30, dss_report!$C155&lt;40), TRUE, FALSE)</f>
        <v>1</v>
      </c>
      <c r="E155" s="1"/>
      <c r="F155" s="2">
        <f>LET(
 _xlpm.t,dss_report!$B155, _xlpm.lo,18, _xlpm.hi,28,
 IF(AND(_xlpm.t&gt;=_xlpm.lo, _xlpm.t&lt;=_xlpm.hi), 1,
   IF(_xlpm.t&lt;_xlpm.lo, MAX(0, 1 - (_xlpm.lo - _xlpm.t)/(_xlpm.lo*0.5)),
             MAX(0, 1 - (_xlpm.t - _xlpm.hi)/(_xlpm.hi*0.5))
   )
 )
)</f>
        <v>0.4822167304</v>
      </c>
      <c r="G155" s="2">
        <f>LET(
 _xlpm.h,dss_report!$C155, _xlpm.lo,45, _xlpm.hi,70,
 IF(AND(_xlpm.h&gt;=_xlpm.lo, _xlpm.h&lt;=_xlpm.hi), 1,
   IF(_xlpm.h&lt;_xlpm.lo, MAX(0, 1 - (_xlpm.lo - _xlpm.h)/(_xlpm.lo*0.5)),
             MAX(0, 1 - (_xlpm.h - _xlpm.hi)/(_xlpm.hi*0.5))
   )
 )
)</f>
        <v>0.4005852951</v>
      </c>
      <c r="H155" s="2">
        <f t="shared" si="1"/>
        <v>0.4495641563</v>
      </c>
      <c r="I155" s="2" t="b">
        <f>IF(OR(dss_report!$D155=TRUE, H155&lt;0.3), TRUE, FALSE)</f>
        <v>1</v>
      </c>
      <c r="J155" s="2" t="b">
        <f>IF( OR( AND(dss_report!$B155&gt;31, dss_report!$C155&lt;38), H155&lt;0.25 ), TRUE, FALSE)</f>
        <v>1</v>
      </c>
      <c r="K155" s="2">
        <f t="shared" si="2"/>
        <v>1</v>
      </c>
      <c r="L155" s="2">
        <f t="shared" si="3"/>
        <v>0</v>
      </c>
      <c r="M155" s="2">
        <f t="shared" si="4"/>
        <v>0</v>
      </c>
      <c r="N155" s="2">
        <f t="shared" si="5"/>
        <v>0</v>
      </c>
      <c r="O155" s="2">
        <f t="shared" si="6"/>
        <v>1</v>
      </c>
      <c r="P155" s="2">
        <f t="shared" si="7"/>
        <v>1</v>
      </c>
    </row>
    <row r="156" ht="14.25" customHeight="1">
      <c r="A156" s="4">
        <v>45445.604166666664</v>
      </c>
      <c r="B156" s="1">
        <v>34.72905228421256</v>
      </c>
      <c r="C156" s="1">
        <v>40.17831665151199</v>
      </c>
      <c r="D156" s="1" t="b">
        <f>IF(AND(dss_report!$B156&gt;30, dss_report!$C156&lt;40), TRUE, FALSE)</f>
        <v>0</v>
      </c>
      <c r="E156" s="1"/>
      <c r="F156" s="2">
        <f>LET(
 _xlpm.t,dss_report!$B156, _xlpm.lo,18, _xlpm.hi,28,
 IF(AND(_xlpm.t&gt;=_xlpm.lo, _xlpm.t&lt;=_xlpm.hi), 1,
   IF(_xlpm.t&lt;_xlpm.lo, MAX(0, 1 - (_xlpm.lo - _xlpm.t)/(_xlpm.lo*0.5)),
             MAX(0, 1 - (_xlpm.t - _xlpm.hi)/(_xlpm.hi*0.5))
   )
 )
)</f>
        <v>0.5193534083</v>
      </c>
      <c r="G156" s="2">
        <f>LET(
 _xlpm.h,dss_report!$C156, _xlpm.lo,45, _xlpm.hi,70,
 IF(AND(_xlpm.h&gt;=_xlpm.lo, _xlpm.h&lt;=_xlpm.hi), 1,
   IF(_xlpm.h&lt;_xlpm.lo, MAX(0, 1 - (_xlpm.lo - _xlpm.h)/(_xlpm.lo*0.5)),
             MAX(0, 1 - (_xlpm.h - _xlpm.hi)/(_xlpm.hi*0.5))
   )
 )
)</f>
        <v>0.7857029623</v>
      </c>
      <c r="H156" s="2">
        <f t="shared" si="1"/>
        <v>0.6258932299</v>
      </c>
      <c r="I156" s="2" t="b">
        <f>IF(OR(dss_report!$D156=TRUE, H156&lt;0.3), TRUE, FALSE)</f>
        <v>0</v>
      </c>
      <c r="J156" s="2" t="b">
        <f>IF( OR( AND(dss_report!$B156&gt;31, dss_report!$C156&lt;38), H156&lt;0.25 ), TRUE, FALSE)</f>
        <v>0</v>
      </c>
      <c r="K156" s="2">
        <f t="shared" si="2"/>
        <v>0</v>
      </c>
      <c r="L156" s="2">
        <f t="shared" si="3"/>
        <v>0</v>
      </c>
      <c r="M156" s="2">
        <f t="shared" si="4"/>
        <v>0</v>
      </c>
      <c r="N156" s="2">
        <f t="shared" si="5"/>
        <v>1</v>
      </c>
      <c r="O156" s="2">
        <f t="shared" si="6"/>
        <v>0</v>
      </c>
      <c r="P156" s="2">
        <f t="shared" si="7"/>
        <v>0</v>
      </c>
    </row>
    <row r="157" ht="14.25" customHeight="1">
      <c r="A157" s="4">
        <v>45445.614583333336</v>
      </c>
      <c r="B157" s="1">
        <v>34.14610640607416</v>
      </c>
      <c r="C157" s="1">
        <v>34.207627912378875</v>
      </c>
      <c r="D157" s="1" t="b">
        <f>IF(AND(dss_report!$B157&gt;30, dss_report!$C157&lt;40), TRUE, FALSE)</f>
        <v>1</v>
      </c>
      <c r="E157" s="1"/>
      <c r="F157" s="2">
        <f>LET(
 _xlpm.t,dss_report!$B157, _xlpm.lo,18, _xlpm.hi,28,
 IF(AND(_xlpm.t&gt;=_xlpm.lo, _xlpm.t&lt;=_xlpm.hi), 1,
   IF(_xlpm.t&lt;_xlpm.lo, MAX(0, 1 - (_xlpm.lo - _xlpm.t)/(_xlpm.lo*0.5)),
             MAX(0, 1 - (_xlpm.t - _xlpm.hi)/(_xlpm.hi*0.5))
   )
 )
)</f>
        <v>0.5609923996</v>
      </c>
      <c r="G157" s="2">
        <f>LET(
 _xlpm.h,dss_report!$C157, _xlpm.lo,45, _xlpm.hi,70,
 IF(AND(_xlpm.h&gt;=_xlpm.lo, _xlpm.h&lt;=_xlpm.hi), 1,
   IF(_xlpm.h&lt;_xlpm.lo, MAX(0, 1 - (_xlpm.lo - _xlpm.h)/(_xlpm.lo*0.5)),
             MAX(0, 1 - (_xlpm.h - _xlpm.hi)/(_xlpm.hi*0.5))
   )
 )
)</f>
        <v>0.5203390183</v>
      </c>
      <c r="H157" s="2">
        <f t="shared" si="1"/>
        <v>0.5447310471</v>
      </c>
      <c r="I157" s="2" t="b">
        <f>IF(OR(dss_report!$D157=TRUE, H157&lt;0.3), TRUE, FALSE)</f>
        <v>1</v>
      </c>
      <c r="J157" s="2" t="b">
        <f>IF( OR( AND(dss_report!$B157&gt;31, dss_report!$C157&lt;38), H157&lt;0.25 ), TRUE, FALSE)</f>
        <v>1</v>
      </c>
      <c r="K157" s="2">
        <f t="shared" si="2"/>
        <v>1</v>
      </c>
      <c r="L157" s="2">
        <f t="shared" si="3"/>
        <v>0</v>
      </c>
      <c r="M157" s="2">
        <f t="shared" si="4"/>
        <v>0</v>
      </c>
      <c r="N157" s="2">
        <f t="shared" si="5"/>
        <v>0</v>
      </c>
      <c r="O157" s="2">
        <f t="shared" si="6"/>
        <v>1</v>
      </c>
      <c r="P157" s="2">
        <f t="shared" si="7"/>
        <v>1</v>
      </c>
    </row>
    <row r="158" ht="14.25" customHeight="1">
      <c r="A158" s="4">
        <v>45445.625</v>
      </c>
      <c r="B158" s="1">
        <v>33.56341441937131</v>
      </c>
      <c r="C158" s="1">
        <v>30.05729568745916</v>
      </c>
      <c r="D158" s="1" t="b">
        <f>IF(AND(dss_report!$B158&gt;30, dss_report!$C158&lt;40), TRUE, FALSE)</f>
        <v>1</v>
      </c>
      <c r="E158" s="1"/>
      <c r="F158" s="2">
        <f>LET(
 _xlpm.t,dss_report!$B158, _xlpm.lo,18, _xlpm.hi,28,
 IF(AND(_xlpm.t&gt;=_xlpm.lo, _xlpm.t&lt;=_xlpm.hi), 1,
   IF(_xlpm.t&lt;_xlpm.lo, MAX(0, 1 - (_xlpm.lo - _xlpm.t)/(_xlpm.lo*0.5)),
             MAX(0, 1 - (_xlpm.t - _xlpm.hi)/(_xlpm.hi*0.5))
   )
 )
)</f>
        <v>0.6026132558</v>
      </c>
      <c r="G158" s="2">
        <f>LET(
 _xlpm.h,dss_report!$C158, _xlpm.lo,45, _xlpm.hi,70,
 IF(AND(_xlpm.h&gt;=_xlpm.lo, _xlpm.h&lt;=_xlpm.hi), 1,
   IF(_xlpm.h&lt;_xlpm.lo, MAX(0, 1 - (_xlpm.lo - _xlpm.h)/(_xlpm.lo*0.5)),
             MAX(0, 1 - (_xlpm.h - _xlpm.hi)/(_xlpm.hi*0.5))
   )
 )
)</f>
        <v>0.3358798083</v>
      </c>
      <c r="H158" s="2">
        <f t="shared" si="1"/>
        <v>0.4959198768</v>
      </c>
      <c r="I158" s="2" t="b">
        <f>IF(OR(dss_report!$D158=TRUE, H158&lt;0.3), TRUE, FALSE)</f>
        <v>1</v>
      </c>
      <c r="J158" s="2" t="b">
        <f>IF( OR( AND(dss_report!$B158&gt;31, dss_report!$C158&lt;38), H158&lt;0.25 ), TRUE, FALSE)</f>
        <v>1</v>
      </c>
      <c r="K158" s="2">
        <f t="shared" si="2"/>
        <v>1</v>
      </c>
      <c r="L158" s="2">
        <f t="shared" si="3"/>
        <v>0</v>
      </c>
      <c r="M158" s="2">
        <f t="shared" si="4"/>
        <v>0</v>
      </c>
      <c r="N158" s="2">
        <f t="shared" si="5"/>
        <v>0</v>
      </c>
      <c r="O158" s="2">
        <f t="shared" si="6"/>
        <v>1</v>
      </c>
      <c r="P158" s="2">
        <f t="shared" si="7"/>
        <v>1</v>
      </c>
    </row>
    <row r="159" ht="14.25" customHeight="1">
      <c r="A159" s="4">
        <v>45445.635416666664</v>
      </c>
      <c r="B159" s="1">
        <v>34.00949763258951</v>
      </c>
      <c r="C159" s="1">
        <v>26.215620621194887</v>
      </c>
      <c r="D159" s="1" t="b">
        <f>IF(AND(dss_report!$B159&gt;30, dss_report!$C159&lt;40), TRUE, FALSE)</f>
        <v>1</v>
      </c>
      <c r="E159" s="1"/>
      <c r="F159" s="2">
        <f>LET(
 _xlpm.t,dss_report!$B159, _xlpm.lo,18, _xlpm.hi,28,
 IF(AND(_xlpm.t&gt;=_xlpm.lo, _xlpm.t&lt;=_xlpm.hi), 1,
   IF(_xlpm.t&lt;_xlpm.lo, MAX(0, 1 - (_xlpm.lo - _xlpm.t)/(_xlpm.lo*0.5)),
             MAX(0, 1 - (_xlpm.t - _xlpm.hi)/(_xlpm.hi*0.5))
   )
 )
)</f>
        <v>0.5707501691</v>
      </c>
      <c r="G159" s="2">
        <f>LET(
 _xlpm.h,dss_report!$C159, _xlpm.lo,45, _xlpm.hi,70,
 IF(AND(_xlpm.h&gt;=_xlpm.lo, _xlpm.h&lt;=_xlpm.hi), 1,
   IF(_xlpm.h&lt;_xlpm.lo, MAX(0, 1 - (_xlpm.lo - _xlpm.h)/(_xlpm.lo*0.5)),
             MAX(0, 1 - (_xlpm.h - _xlpm.hi)/(_xlpm.hi*0.5))
   )
 )
)</f>
        <v>0.1651386943</v>
      </c>
      <c r="H159" s="2">
        <f t="shared" si="1"/>
        <v>0.4085055792</v>
      </c>
      <c r="I159" s="2" t="b">
        <f>IF(OR(dss_report!$D159=TRUE, H159&lt;0.3), TRUE, FALSE)</f>
        <v>1</v>
      </c>
      <c r="J159" s="2" t="b">
        <f>IF( OR( AND(dss_report!$B159&gt;31, dss_report!$C159&lt;38), H159&lt;0.25 ), TRUE, FALSE)</f>
        <v>1</v>
      </c>
      <c r="K159" s="2">
        <f t="shared" si="2"/>
        <v>1</v>
      </c>
      <c r="L159" s="2">
        <f t="shared" si="3"/>
        <v>0</v>
      </c>
      <c r="M159" s="2">
        <f t="shared" si="4"/>
        <v>0</v>
      </c>
      <c r="N159" s="2">
        <f t="shared" si="5"/>
        <v>0</v>
      </c>
      <c r="O159" s="2">
        <f t="shared" si="6"/>
        <v>1</v>
      </c>
      <c r="P159" s="2">
        <f t="shared" si="7"/>
        <v>1</v>
      </c>
    </row>
    <row r="160" ht="14.25" customHeight="1">
      <c r="A160" s="4">
        <v>45445.645833333336</v>
      </c>
      <c r="B160" s="1">
        <v>34.81774982196295</v>
      </c>
      <c r="C160" s="1">
        <v>30.17149695434954</v>
      </c>
      <c r="D160" s="1" t="b">
        <f>IF(AND(dss_report!$B160&gt;30, dss_report!$C160&lt;40), TRUE, FALSE)</f>
        <v>1</v>
      </c>
      <c r="E160" s="1"/>
      <c r="F160" s="2">
        <f>LET(
 _xlpm.t,dss_report!$B160, _xlpm.lo,18, _xlpm.hi,28,
 IF(AND(_xlpm.t&gt;=_xlpm.lo, _xlpm.t&lt;=_xlpm.hi), 1,
   IF(_xlpm.t&lt;_xlpm.lo, MAX(0, 1 - (_xlpm.lo - _xlpm.t)/(_xlpm.lo*0.5)),
             MAX(0, 1 - (_xlpm.t - _xlpm.hi)/(_xlpm.hi*0.5))
   )
 )
)</f>
        <v>0.5130178699</v>
      </c>
      <c r="G160" s="2">
        <f>LET(
 _xlpm.h,dss_report!$C160, _xlpm.lo,45, _xlpm.hi,70,
 IF(AND(_xlpm.h&gt;=_xlpm.lo, _xlpm.h&lt;=_xlpm.hi), 1,
   IF(_xlpm.h&lt;_xlpm.lo, MAX(0, 1 - (_xlpm.lo - _xlpm.h)/(_xlpm.lo*0.5)),
             MAX(0, 1 - (_xlpm.h - _xlpm.hi)/(_xlpm.hi*0.5))
   )
 )
)</f>
        <v>0.3409554202</v>
      </c>
      <c r="H160" s="2">
        <f t="shared" si="1"/>
        <v>0.44419289</v>
      </c>
      <c r="I160" s="2" t="b">
        <f>IF(OR(dss_report!$D160=TRUE, H160&lt;0.3), TRUE, FALSE)</f>
        <v>1</v>
      </c>
      <c r="J160" s="2" t="b">
        <f>IF( OR( AND(dss_report!$B160&gt;31, dss_report!$C160&lt;38), H160&lt;0.25 ), TRUE, FALSE)</f>
        <v>1</v>
      </c>
      <c r="K160" s="2">
        <f t="shared" si="2"/>
        <v>1</v>
      </c>
      <c r="L160" s="2">
        <f t="shared" si="3"/>
        <v>0</v>
      </c>
      <c r="M160" s="2">
        <f t="shared" si="4"/>
        <v>0</v>
      </c>
      <c r="N160" s="2">
        <f t="shared" si="5"/>
        <v>0</v>
      </c>
      <c r="O160" s="2">
        <f t="shared" si="6"/>
        <v>1</v>
      </c>
      <c r="P160" s="2">
        <f t="shared" si="7"/>
        <v>1</v>
      </c>
    </row>
    <row r="161" ht="14.25" customHeight="1">
      <c r="A161" s="4">
        <v>45445.65625</v>
      </c>
      <c r="B161" s="1">
        <v>35.80157446766038</v>
      </c>
      <c r="C161" s="1">
        <v>28.36991104664091</v>
      </c>
      <c r="D161" s="1" t="b">
        <f>IF(AND(dss_report!$B161&gt;30, dss_report!$C161&lt;40), TRUE, FALSE)</f>
        <v>1</v>
      </c>
      <c r="E161" s="1"/>
      <c r="F161" s="2">
        <f>LET(
 _xlpm.t,dss_report!$B161, _xlpm.lo,18, _xlpm.hi,28,
 IF(AND(_xlpm.t&gt;=_xlpm.lo, _xlpm.t&lt;=_xlpm.hi), 1,
   IF(_xlpm.t&lt;_xlpm.lo, MAX(0, 1 - (_xlpm.lo - _xlpm.t)/(_xlpm.lo*0.5)),
             MAX(0, 1 - (_xlpm.t - _xlpm.hi)/(_xlpm.hi*0.5))
   )
 )
)</f>
        <v>0.4427446809</v>
      </c>
      <c r="G161" s="2">
        <f>LET(
 _xlpm.h,dss_report!$C161, _xlpm.lo,45, _xlpm.hi,70,
 IF(AND(_xlpm.h&gt;=_xlpm.lo, _xlpm.h&lt;=_xlpm.hi), 1,
   IF(_xlpm.h&lt;_xlpm.lo, MAX(0, 1 - (_xlpm.lo - _xlpm.h)/(_xlpm.lo*0.5)),
             MAX(0, 1 - (_xlpm.h - _xlpm.hi)/(_xlpm.hi*0.5))
   )
 )
)</f>
        <v>0.2608849354</v>
      </c>
      <c r="H161" s="2">
        <f t="shared" si="1"/>
        <v>0.3700007827</v>
      </c>
      <c r="I161" s="2" t="b">
        <f>IF(OR(dss_report!$D161=TRUE, H161&lt;0.3), TRUE, FALSE)</f>
        <v>1</v>
      </c>
      <c r="J161" s="2" t="b">
        <f>IF( OR( AND(dss_report!$B161&gt;31, dss_report!$C161&lt;38), H161&lt;0.25 ), TRUE, FALSE)</f>
        <v>1</v>
      </c>
      <c r="K161" s="2">
        <f t="shared" si="2"/>
        <v>1</v>
      </c>
      <c r="L161" s="2">
        <f t="shared" si="3"/>
        <v>0</v>
      </c>
      <c r="M161" s="2">
        <f t="shared" si="4"/>
        <v>0</v>
      </c>
      <c r="N161" s="2">
        <f t="shared" si="5"/>
        <v>0</v>
      </c>
      <c r="O161" s="2">
        <f t="shared" si="6"/>
        <v>1</v>
      </c>
      <c r="P161" s="2">
        <f t="shared" si="7"/>
        <v>1</v>
      </c>
    </row>
    <row r="162" ht="14.25" customHeight="1">
      <c r="A162" s="4">
        <v>45445.666666666664</v>
      </c>
      <c r="B162" s="1">
        <v>35.24464413698531</v>
      </c>
      <c r="C162" s="1">
        <v>26.065410066295836</v>
      </c>
      <c r="D162" s="1" t="b">
        <f>IF(AND(dss_report!$B162&gt;30, dss_report!$C162&lt;40), TRUE, FALSE)</f>
        <v>1</v>
      </c>
      <c r="E162" s="1"/>
      <c r="F162" s="2">
        <f>LET(
 _xlpm.t,dss_report!$B162, _xlpm.lo,18, _xlpm.hi,28,
 IF(AND(_xlpm.t&gt;=_xlpm.lo, _xlpm.t&lt;=_xlpm.hi), 1,
   IF(_xlpm.t&lt;_xlpm.lo, MAX(0, 1 - (_xlpm.lo - _xlpm.t)/(_xlpm.lo*0.5)),
             MAX(0, 1 - (_xlpm.t - _xlpm.hi)/(_xlpm.hi*0.5))
   )
 )
)</f>
        <v>0.4825254188</v>
      </c>
      <c r="G162" s="2">
        <f>LET(
 _xlpm.h,dss_report!$C162, _xlpm.lo,45, _xlpm.hi,70,
 IF(AND(_xlpm.h&gt;=_xlpm.lo, _xlpm.h&lt;=_xlpm.hi), 1,
   IF(_xlpm.h&lt;_xlpm.lo, MAX(0, 1 - (_xlpm.lo - _xlpm.h)/(_xlpm.lo*0.5)),
             MAX(0, 1 - (_xlpm.h - _xlpm.hi)/(_xlpm.hi*0.5))
   )
 )
)</f>
        <v>0.1584626696</v>
      </c>
      <c r="H162" s="2">
        <f t="shared" si="1"/>
        <v>0.3529003191</v>
      </c>
      <c r="I162" s="2" t="b">
        <f>IF(OR(dss_report!$D162=TRUE, H162&lt;0.3), TRUE, FALSE)</f>
        <v>1</v>
      </c>
      <c r="J162" s="2" t="b">
        <f>IF( OR( AND(dss_report!$B162&gt;31, dss_report!$C162&lt;38), H162&lt;0.25 ), TRUE, FALSE)</f>
        <v>1</v>
      </c>
      <c r="K162" s="2">
        <f t="shared" si="2"/>
        <v>1</v>
      </c>
      <c r="L162" s="2">
        <f t="shared" si="3"/>
        <v>0</v>
      </c>
      <c r="M162" s="2">
        <f t="shared" si="4"/>
        <v>0</v>
      </c>
      <c r="N162" s="2">
        <f t="shared" si="5"/>
        <v>0</v>
      </c>
      <c r="O162" s="2">
        <f t="shared" si="6"/>
        <v>1</v>
      </c>
      <c r="P162" s="2">
        <f t="shared" si="7"/>
        <v>1</v>
      </c>
    </row>
    <row r="163" ht="14.25" customHeight="1">
      <c r="A163" s="4">
        <v>45445.677083333336</v>
      </c>
      <c r="B163" s="1">
        <v>33.66690453092372</v>
      </c>
      <c r="C163" s="1">
        <v>34.815134031040124</v>
      </c>
      <c r="D163" s="1" t="b">
        <f>IF(AND(dss_report!$B163&gt;30, dss_report!$C163&lt;40), TRUE, FALSE)</f>
        <v>1</v>
      </c>
      <c r="E163" s="1"/>
      <c r="F163" s="2">
        <f>LET(
 _xlpm.t,dss_report!$B163, _xlpm.lo,18, _xlpm.hi,28,
 IF(AND(_xlpm.t&gt;=_xlpm.lo, _xlpm.t&lt;=_xlpm.hi), 1,
   IF(_xlpm.t&lt;_xlpm.lo, MAX(0, 1 - (_xlpm.lo - _xlpm.t)/(_xlpm.lo*0.5)),
             MAX(0, 1 - (_xlpm.t - _xlpm.hi)/(_xlpm.hi*0.5))
   )
 )
)</f>
        <v>0.5952211049</v>
      </c>
      <c r="G163" s="2">
        <f>LET(
 _xlpm.h,dss_report!$C163, _xlpm.lo,45, _xlpm.hi,70,
 IF(AND(_xlpm.h&gt;=_xlpm.lo, _xlpm.h&lt;=_xlpm.hi), 1,
   IF(_xlpm.h&lt;_xlpm.lo, MAX(0, 1 - (_xlpm.lo - _xlpm.h)/(_xlpm.lo*0.5)),
             MAX(0, 1 - (_xlpm.h - _xlpm.hi)/(_xlpm.hi*0.5))
   )
 )
)</f>
        <v>0.5473392903</v>
      </c>
      <c r="H163" s="2">
        <f t="shared" si="1"/>
        <v>0.5760683791</v>
      </c>
      <c r="I163" s="2" t="b">
        <f>IF(OR(dss_report!$D163=TRUE, H163&lt;0.3), TRUE, FALSE)</f>
        <v>1</v>
      </c>
      <c r="J163" s="2" t="b">
        <f>IF( OR( AND(dss_report!$B163&gt;31, dss_report!$C163&lt;38), H163&lt;0.25 ), TRUE, FALSE)</f>
        <v>1</v>
      </c>
      <c r="K163" s="2">
        <f t="shared" si="2"/>
        <v>1</v>
      </c>
      <c r="L163" s="2">
        <f t="shared" si="3"/>
        <v>0</v>
      </c>
      <c r="M163" s="2">
        <f t="shared" si="4"/>
        <v>0</v>
      </c>
      <c r="N163" s="2">
        <f t="shared" si="5"/>
        <v>0</v>
      </c>
      <c r="O163" s="2">
        <f t="shared" si="6"/>
        <v>1</v>
      </c>
      <c r="P163" s="2">
        <f t="shared" si="7"/>
        <v>1</v>
      </c>
    </row>
    <row r="164" ht="14.25" customHeight="1">
      <c r="A164" s="4">
        <v>45445.6875</v>
      </c>
      <c r="B164" s="1">
        <v>34.233109860033984</v>
      </c>
      <c r="C164" s="1">
        <v>31.192362437899728</v>
      </c>
      <c r="D164" s="1" t="b">
        <f>IF(AND(dss_report!$B164&gt;30, dss_report!$C164&lt;40), TRUE, FALSE)</f>
        <v>1</v>
      </c>
      <c r="E164" s="1"/>
      <c r="F164" s="2">
        <f>LET(
 _xlpm.t,dss_report!$B164, _xlpm.lo,18, _xlpm.hi,28,
 IF(AND(_xlpm.t&gt;=_xlpm.lo, _xlpm.t&lt;=_xlpm.hi), 1,
   IF(_xlpm.t&lt;_xlpm.lo, MAX(0, 1 - (_xlpm.lo - _xlpm.t)/(_xlpm.lo*0.5)),
             MAX(0, 1 - (_xlpm.t - _xlpm.hi)/(_xlpm.hi*0.5))
   )
 )
)</f>
        <v>0.5547778671</v>
      </c>
      <c r="G164" s="2">
        <f>LET(
 _xlpm.h,dss_report!$C164, _xlpm.lo,45, _xlpm.hi,70,
 IF(AND(_xlpm.h&gt;=_xlpm.lo, _xlpm.h&lt;=_xlpm.hi), 1,
   IF(_xlpm.h&lt;_xlpm.lo, MAX(0, 1 - (_xlpm.lo - _xlpm.h)/(_xlpm.lo*0.5)),
             MAX(0, 1 - (_xlpm.h - _xlpm.hi)/(_xlpm.hi*0.5))
   )
 )
)</f>
        <v>0.3863272195</v>
      </c>
      <c r="H164" s="2">
        <f t="shared" si="1"/>
        <v>0.4873976081</v>
      </c>
      <c r="I164" s="2" t="b">
        <f>IF(OR(dss_report!$D164=TRUE, H164&lt;0.3), TRUE, FALSE)</f>
        <v>1</v>
      </c>
      <c r="J164" s="2" t="b">
        <f>IF( OR( AND(dss_report!$B164&gt;31, dss_report!$C164&lt;38), H164&lt;0.25 ), TRUE, FALSE)</f>
        <v>1</v>
      </c>
      <c r="K164" s="2">
        <f t="shared" si="2"/>
        <v>1</v>
      </c>
      <c r="L164" s="2">
        <f t="shared" si="3"/>
        <v>0</v>
      </c>
      <c r="M164" s="2">
        <f t="shared" si="4"/>
        <v>0</v>
      </c>
      <c r="N164" s="2">
        <f t="shared" si="5"/>
        <v>0</v>
      </c>
      <c r="O164" s="2">
        <f t="shared" si="6"/>
        <v>1</v>
      </c>
      <c r="P164" s="2">
        <f t="shared" si="7"/>
        <v>1</v>
      </c>
    </row>
    <row r="165" ht="14.25" customHeight="1">
      <c r="A165" s="4">
        <v>45445.697916666664</v>
      </c>
      <c r="B165" s="1">
        <v>34.647251867627986</v>
      </c>
      <c r="C165" s="1">
        <v>33.94935381105907</v>
      </c>
      <c r="D165" s="1" t="b">
        <f>IF(AND(dss_report!$B165&gt;30, dss_report!$C165&lt;40), TRUE, FALSE)</f>
        <v>1</v>
      </c>
      <c r="E165" s="1"/>
      <c r="F165" s="2">
        <f>LET(
 _xlpm.t,dss_report!$B165, _xlpm.lo,18, _xlpm.hi,28,
 IF(AND(_xlpm.t&gt;=_xlpm.lo, _xlpm.t&lt;=_xlpm.hi), 1,
   IF(_xlpm.t&lt;_xlpm.lo, MAX(0, 1 - (_xlpm.lo - _xlpm.t)/(_xlpm.lo*0.5)),
             MAX(0, 1 - (_xlpm.t - _xlpm.hi)/(_xlpm.hi*0.5))
   )
 )
)</f>
        <v>0.5251962952</v>
      </c>
      <c r="G165" s="2">
        <f>LET(
 _xlpm.h,dss_report!$C165, _xlpm.lo,45, _xlpm.hi,70,
 IF(AND(_xlpm.h&gt;=_xlpm.lo, _xlpm.h&lt;=_xlpm.hi), 1,
   IF(_xlpm.h&lt;_xlpm.lo, MAX(0, 1 - (_xlpm.lo - _xlpm.h)/(_xlpm.lo*0.5)),
             MAX(0, 1 - (_xlpm.h - _xlpm.hi)/(_xlpm.hi*0.5))
   )
 )
)</f>
        <v>0.5088601694</v>
      </c>
      <c r="H165" s="2">
        <f t="shared" si="1"/>
        <v>0.5186618449</v>
      </c>
      <c r="I165" s="2" t="b">
        <f>IF(OR(dss_report!$D165=TRUE, H165&lt;0.3), TRUE, FALSE)</f>
        <v>1</v>
      </c>
      <c r="J165" s="2" t="b">
        <f>IF( OR( AND(dss_report!$B165&gt;31, dss_report!$C165&lt;38), H165&lt;0.25 ), TRUE, FALSE)</f>
        <v>1</v>
      </c>
      <c r="K165" s="2">
        <f t="shared" si="2"/>
        <v>1</v>
      </c>
      <c r="L165" s="2">
        <f t="shared" si="3"/>
        <v>0</v>
      </c>
      <c r="M165" s="2">
        <f t="shared" si="4"/>
        <v>0</v>
      </c>
      <c r="N165" s="2">
        <f t="shared" si="5"/>
        <v>0</v>
      </c>
      <c r="O165" s="2">
        <f t="shared" si="6"/>
        <v>1</v>
      </c>
      <c r="P165" s="2">
        <f t="shared" si="7"/>
        <v>1</v>
      </c>
    </row>
    <row r="166" ht="14.25" customHeight="1">
      <c r="A166" s="4">
        <v>45445.708333333336</v>
      </c>
      <c r="B166" s="1">
        <v>34.50906093104955</v>
      </c>
      <c r="C166" s="1">
        <v>41.89871463270204</v>
      </c>
      <c r="D166" s="1" t="b">
        <f>IF(AND(dss_report!$B166&gt;30, dss_report!$C166&lt;40), TRUE, FALSE)</f>
        <v>0</v>
      </c>
      <c r="E166" s="1"/>
      <c r="F166" s="2">
        <f>LET(
 _xlpm.t,dss_report!$B166, _xlpm.lo,18, _xlpm.hi,28,
 IF(AND(_xlpm.t&gt;=_xlpm.lo, _xlpm.t&lt;=_xlpm.hi), 1,
   IF(_xlpm.t&lt;_xlpm.lo, MAX(0, 1 - (_xlpm.lo - _xlpm.t)/(_xlpm.lo*0.5)),
             MAX(0, 1 - (_xlpm.t - _xlpm.hi)/(_xlpm.hi*0.5))
   )
 )
)</f>
        <v>0.5350670764</v>
      </c>
      <c r="G166" s="2">
        <f>LET(
 _xlpm.h,dss_report!$C166, _xlpm.lo,45, _xlpm.hi,70,
 IF(AND(_xlpm.h&gt;=_xlpm.lo, _xlpm.h&lt;=_xlpm.hi), 1,
   IF(_xlpm.h&lt;_xlpm.lo, MAX(0, 1 - (_xlpm.lo - _xlpm.h)/(_xlpm.lo*0.5)),
             MAX(0, 1 - (_xlpm.h - _xlpm.hi)/(_xlpm.hi*0.5))
   )
 )
)</f>
        <v>0.8621650948</v>
      </c>
      <c r="H166" s="2">
        <f t="shared" si="1"/>
        <v>0.6659062837</v>
      </c>
      <c r="I166" s="2" t="b">
        <f>IF(OR(dss_report!$D166=TRUE, H166&lt;0.3), TRUE, FALSE)</f>
        <v>0</v>
      </c>
      <c r="J166" s="2" t="b">
        <f>IF( OR( AND(dss_report!$B166&gt;31, dss_report!$C166&lt;38), H166&lt;0.25 ), TRUE, FALSE)</f>
        <v>0</v>
      </c>
      <c r="K166" s="2">
        <f t="shared" si="2"/>
        <v>0</v>
      </c>
      <c r="L166" s="2">
        <f t="shared" si="3"/>
        <v>0</v>
      </c>
      <c r="M166" s="2">
        <f t="shared" si="4"/>
        <v>0</v>
      </c>
      <c r="N166" s="2">
        <f t="shared" si="5"/>
        <v>1</v>
      </c>
      <c r="O166" s="2">
        <f t="shared" si="6"/>
        <v>0</v>
      </c>
      <c r="P166" s="2">
        <f t="shared" si="7"/>
        <v>0</v>
      </c>
    </row>
    <row r="167" ht="14.25" customHeight="1">
      <c r="A167" s="4">
        <v>45445.71875</v>
      </c>
      <c r="B167" s="1">
        <v>34.65214091240692</v>
      </c>
      <c r="C167" s="1">
        <v>33.43972747424</v>
      </c>
      <c r="D167" s="1" t="b">
        <f>IF(AND(dss_report!$B167&gt;30, dss_report!$C167&lt;40), TRUE, FALSE)</f>
        <v>1</v>
      </c>
      <c r="E167" s="1"/>
      <c r="F167" s="2">
        <f>LET(
 _xlpm.t,dss_report!$B167, _xlpm.lo,18, _xlpm.hi,28,
 IF(AND(_xlpm.t&gt;=_xlpm.lo, _xlpm.t&lt;=_xlpm.hi), 1,
   IF(_xlpm.t&lt;_xlpm.lo, MAX(0, 1 - (_xlpm.lo - _xlpm.t)/(_xlpm.lo*0.5)),
             MAX(0, 1 - (_xlpm.t - _xlpm.hi)/(_xlpm.hi*0.5))
   )
 )
)</f>
        <v>0.5248470777</v>
      </c>
      <c r="G167" s="2">
        <f>LET(
 _xlpm.h,dss_report!$C167, _xlpm.lo,45, _xlpm.hi,70,
 IF(AND(_xlpm.h&gt;=_xlpm.lo, _xlpm.h&lt;=_xlpm.hi), 1,
   IF(_xlpm.h&lt;_xlpm.lo, MAX(0, 1 - (_xlpm.lo - _xlpm.h)/(_xlpm.lo*0.5)),
             MAX(0, 1 - (_xlpm.h - _xlpm.hi)/(_xlpm.hi*0.5))
   )
 )
)</f>
        <v>0.48621011</v>
      </c>
      <c r="H167" s="2">
        <f t="shared" si="1"/>
        <v>0.5093922906</v>
      </c>
      <c r="I167" s="2" t="b">
        <f>IF(OR(dss_report!$D167=TRUE, H167&lt;0.3), TRUE, FALSE)</f>
        <v>1</v>
      </c>
      <c r="J167" s="2" t="b">
        <f>IF( OR( AND(dss_report!$B167&gt;31, dss_report!$C167&lt;38), H167&lt;0.25 ), TRUE, FALSE)</f>
        <v>1</v>
      </c>
      <c r="K167" s="2">
        <f t="shared" si="2"/>
        <v>1</v>
      </c>
      <c r="L167" s="2">
        <f t="shared" si="3"/>
        <v>0</v>
      </c>
      <c r="M167" s="2">
        <f t="shared" si="4"/>
        <v>0</v>
      </c>
      <c r="N167" s="2">
        <f t="shared" si="5"/>
        <v>0</v>
      </c>
      <c r="O167" s="2">
        <f t="shared" si="6"/>
        <v>1</v>
      </c>
      <c r="P167" s="2">
        <f t="shared" si="7"/>
        <v>1</v>
      </c>
    </row>
    <row r="168" ht="14.25" customHeight="1">
      <c r="A168" s="4">
        <v>45445.729166666664</v>
      </c>
      <c r="B168" s="1">
        <v>35.21304409211921</v>
      </c>
      <c r="C168" s="1">
        <v>32.977743541253304</v>
      </c>
      <c r="D168" s="1" t="b">
        <f>IF(AND(dss_report!$B168&gt;30, dss_report!$C168&lt;40), TRUE, FALSE)</f>
        <v>1</v>
      </c>
      <c r="E168" s="1"/>
      <c r="F168" s="2">
        <f>LET(
 _xlpm.t,dss_report!$B168, _xlpm.lo,18, _xlpm.hi,28,
 IF(AND(_xlpm.t&gt;=_xlpm.lo, _xlpm.t&lt;=_xlpm.hi), 1,
   IF(_xlpm.t&lt;_xlpm.lo, MAX(0, 1 - (_xlpm.lo - _xlpm.t)/(_xlpm.lo*0.5)),
             MAX(0, 1 - (_xlpm.t - _xlpm.hi)/(_xlpm.hi*0.5))
   )
 )
)</f>
        <v>0.4847825648</v>
      </c>
      <c r="G168" s="2">
        <f>LET(
 _xlpm.h,dss_report!$C168, _xlpm.lo,45, _xlpm.hi,70,
 IF(AND(_xlpm.h&gt;=_xlpm.lo, _xlpm.h&lt;=_xlpm.hi), 1,
   IF(_xlpm.h&lt;_xlpm.lo, MAX(0, 1 - (_xlpm.lo - _xlpm.h)/(_xlpm.lo*0.5)),
             MAX(0, 1 - (_xlpm.h - _xlpm.hi)/(_xlpm.hi*0.5))
   )
 )
)</f>
        <v>0.4656774907</v>
      </c>
      <c r="H168" s="2">
        <f t="shared" si="1"/>
        <v>0.4771405352</v>
      </c>
      <c r="I168" s="2" t="b">
        <f>IF(OR(dss_report!$D168=TRUE, H168&lt;0.3), TRUE, FALSE)</f>
        <v>1</v>
      </c>
      <c r="J168" s="2" t="b">
        <f>IF( OR( AND(dss_report!$B168&gt;31, dss_report!$C168&lt;38), H168&lt;0.25 ), TRUE, FALSE)</f>
        <v>1</v>
      </c>
      <c r="K168" s="2">
        <f t="shared" si="2"/>
        <v>1</v>
      </c>
      <c r="L168" s="2">
        <f t="shared" si="3"/>
        <v>0</v>
      </c>
      <c r="M168" s="2">
        <f t="shared" si="4"/>
        <v>0</v>
      </c>
      <c r="N168" s="2">
        <f t="shared" si="5"/>
        <v>0</v>
      </c>
      <c r="O168" s="2">
        <f t="shared" si="6"/>
        <v>1</v>
      </c>
      <c r="P168" s="2">
        <f t="shared" si="7"/>
        <v>1</v>
      </c>
    </row>
    <row r="169" ht="14.25" customHeight="1">
      <c r="A169" s="4">
        <v>45445.739583333336</v>
      </c>
      <c r="B169" s="1">
        <v>34.751094295882325</v>
      </c>
      <c r="C169" s="1">
        <v>33.67249791329537</v>
      </c>
      <c r="D169" s="1" t="b">
        <f>IF(AND(dss_report!$B169&gt;30, dss_report!$C169&lt;40), TRUE, FALSE)</f>
        <v>1</v>
      </c>
      <c r="E169" s="1"/>
      <c r="F169" s="2">
        <f>LET(
 _xlpm.t,dss_report!$B169, _xlpm.lo,18, _xlpm.hi,28,
 IF(AND(_xlpm.t&gt;=_xlpm.lo, _xlpm.t&lt;=_xlpm.hi), 1,
   IF(_xlpm.t&lt;_xlpm.lo, MAX(0, 1 - (_xlpm.lo - _xlpm.t)/(_xlpm.lo*0.5)),
             MAX(0, 1 - (_xlpm.t - _xlpm.hi)/(_xlpm.hi*0.5))
   )
 )
)</f>
        <v>0.5177789789</v>
      </c>
      <c r="G169" s="2">
        <f>LET(
 _xlpm.h,dss_report!$C169, _xlpm.lo,45, _xlpm.hi,70,
 IF(AND(_xlpm.h&gt;=_xlpm.lo, _xlpm.h&lt;=_xlpm.hi), 1,
   IF(_xlpm.h&lt;_xlpm.lo, MAX(0, 1 - (_xlpm.lo - _xlpm.h)/(_xlpm.lo*0.5)),
             MAX(0, 1 - (_xlpm.h - _xlpm.hi)/(_xlpm.hi*0.5))
   )
 )
)</f>
        <v>0.4965554628</v>
      </c>
      <c r="H169" s="2">
        <f t="shared" si="1"/>
        <v>0.5092895724</v>
      </c>
      <c r="I169" s="2" t="b">
        <f>IF(OR(dss_report!$D169=TRUE, H169&lt;0.3), TRUE, FALSE)</f>
        <v>1</v>
      </c>
      <c r="J169" s="2" t="b">
        <f>IF( OR( AND(dss_report!$B169&gt;31, dss_report!$C169&lt;38), H169&lt;0.25 ), TRUE, FALSE)</f>
        <v>1</v>
      </c>
      <c r="K169" s="2">
        <f t="shared" si="2"/>
        <v>1</v>
      </c>
      <c r="L169" s="2">
        <f t="shared" si="3"/>
        <v>0</v>
      </c>
      <c r="M169" s="2">
        <f t="shared" si="4"/>
        <v>0</v>
      </c>
      <c r="N169" s="2">
        <f t="shared" si="5"/>
        <v>0</v>
      </c>
      <c r="O169" s="2">
        <f t="shared" si="6"/>
        <v>1</v>
      </c>
      <c r="P169" s="2">
        <f t="shared" si="7"/>
        <v>1</v>
      </c>
    </row>
    <row r="170" ht="14.25" customHeight="1">
      <c r="A170" s="4">
        <v>45445.75</v>
      </c>
      <c r="B170" s="1">
        <v>34.01907309929857</v>
      </c>
      <c r="C170" s="1">
        <v>31.825507799391485</v>
      </c>
      <c r="D170" s="1" t="b">
        <f>IF(AND(dss_report!$B170&gt;30, dss_report!$C170&lt;40), TRUE, FALSE)</f>
        <v>1</v>
      </c>
      <c r="E170" s="1"/>
      <c r="F170" s="2">
        <f>LET(
 _xlpm.t,dss_report!$B170, _xlpm.lo,18, _xlpm.hi,28,
 IF(AND(_xlpm.t&gt;=_xlpm.lo, _xlpm.t&lt;=_xlpm.hi), 1,
   IF(_xlpm.t&lt;_xlpm.lo, MAX(0, 1 - (_xlpm.lo - _xlpm.t)/(_xlpm.lo*0.5)),
             MAX(0, 1 - (_xlpm.t - _xlpm.hi)/(_xlpm.hi*0.5))
   )
 )
)</f>
        <v>0.5700662072</v>
      </c>
      <c r="G170" s="2">
        <f>LET(
 _xlpm.h,dss_report!$C170, _xlpm.lo,45, _xlpm.hi,70,
 IF(AND(_xlpm.h&gt;=_xlpm.lo, _xlpm.h&lt;=_xlpm.hi), 1,
   IF(_xlpm.h&lt;_xlpm.lo, MAX(0, 1 - (_xlpm.lo - _xlpm.h)/(_xlpm.lo*0.5)),
             MAX(0, 1 - (_xlpm.h - _xlpm.hi)/(_xlpm.hi*0.5))
   )
 )
)</f>
        <v>0.4144670133</v>
      </c>
      <c r="H170" s="2">
        <f t="shared" si="1"/>
        <v>0.5078265296</v>
      </c>
      <c r="I170" s="2" t="b">
        <f>IF(OR(dss_report!$D170=TRUE, H170&lt;0.3), TRUE, FALSE)</f>
        <v>1</v>
      </c>
      <c r="J170" s="2" t="b">
        <f>IF( OR( AND(dss_report!$B170&gt;31, dss_report!$C170&lt;38), H170&lt;0.25 ), TRUE, FALSE)</f>
        <v>1</v>
      </c>
      <c r="K170" s="2">
        <f t="shared" si="2"/>
        <v>1</v>
      </c>
      <c r="L170" s="2">
        <f t="shared" si="3"/>
        <v>0</v>
      </c>
      <c r="M170" s="2">
        <f t="shared" si="4"/>
        <v>0</v>
      </c>
      <c r="N170" s="2">
        <f t="shared" si="5"/>
        <v>0</v>
      </c>
      <c r="O170" s="2">
        <f t="shared" si="6"/>
        <v>1</v>
      </c>
      <c r="P170" s="2">
        <f t="shared" si="7"/>
        <v>1</v>
      </c>
    </row>
    <row r="171" ht="14.25" customHeight="1">
      <c r="A171" s="4">
        <v>45445.760416666664</v>
      </c>
      <c r="B171" s="1">
        <v>33.02425037220795</v>
      </c>
      <c r="C171" s="1">
        <v>30.14399353906549</v>
      </c>
      <c r="D171" s="1" t="b">
        <f>IF(AND(dss_report!$B171&gt;30, dss_report!$C171&lt;40), TRUE, FALSE)</f>
        <v>1</v>
      </c>
      <c r="E171" s="1"/>
      <c r="F171" s="2">
        <f>LET(
 _xlpm.t,dss_report!$B171, _xlpm.lo,18, _xlpm.hi,28,
 IF(AND(_xlpm.t&gt;=_xlpm.lo, _xlpm.t&lt;=_xlpm.hi), 1,
   IF(_xlpm.t&lt;_xlpm.lo, MAX(0, 1 - (_xlpm.lo - _xlpm.t)/(_xlpm.lo*0.5)),
             MAX(0, 1 - (_xlpm.t - _xlpm.hi)/(_xlpm.hi*0.5))
   )
 )
)</f>
        <v>0.6411249734</v>
      </c>
      <c r="G171" s="2">
        <f>LET(
 _xlpm.h,dss_report!$C171, _xlpm.lo,45, _xlpm.hi,70,
 IF(AND(_xlpm.h&gt;=_xlpm.lo, _xlpm.h&lt;=_xlpm.hi), 1,
   IF(_xlpm.h&lt;_xlpm.lo, MAX(0, 1 - (_xlpm.lo - _xlpm.h)/(_xlpm.lo*0.5)),
             MAX(0, 1 - (_xlpm.h - _xlpm.hi)/(_xlpm.hi*0.5))
   )
 )
)</f>
        <v>0.3397330462</v>
      </c>
      <c r="H171" s="2">
        <f t="shared" si="1"/>
        <v>0.5205682025</v>
      </c>
      <c r="I171" s="2" t="b">
        <f>IF(OR(dss_report!$D171=TRUE, H171&lt;0.3), TRUE, FALSE)</f>
        <v>1</v>
      </c>
      <c r="J171" s="2" t="b">
        <f>IF( OR( AND(dss_report!$B171&gt;31, dss_report!$C171&lt;38), H171&lt;0.25 ), TRUE, FALSE)</f>
        <v>1</v>
      </c>
      <c r="K171" s="2">
        <f t="shared" si="2"/>
        <v>1</v>
      </c>
      <c r="L171" s="2">
        <f t="shared" si="3"/>
        <v>0</v>
      </c>
      <c r="M171" s="2">
        <f t="shared" si="4"/>
        <v>0</v>
      </c>
      <c r="N171" s="2">
        <f t="shared" si="5"/>
        <v>0</v>
      </c>
      <c r="O171" s="2">
        <f t="shared" si="6"/>
        <v>1</v>
      </c>
      <c r="P171" s="2">
        <f t="shared" si="7"/>
        <v>1</v>
      </c>
    </row>
    <row r="172" ht="14.25" customHeight="1">
      <c r="A172" s="4">
        <v>45445.770833333336</v>
      </c>
      <c r="B172" s="1">
        <v>34.28744628615538</v>
      </c>
      <c r="C172" s="1">
        <v>31.987518386924158</v>
      </c>
      <c r="D172" s="1" t="b">
        <f>IF(AND(dss_report!$B172&gt;30, dss_report!$C172&lt;40), TRUE, FALSE)</f>
        <v>1</v>
      </c>
      <c r="E172" s="1"/>
      <c r="F172" s="2">
        <f>LET(
 _xlpm.t,dss_report!$B172, _xlpm.lo,18, _xlpm.hi,28,
 IF(AND(_xlpm.t&gt;=_xlpm.lo, _xlpm.t&lt;=_xlpm.hi), 1,
   IF(_xlpm.t&lt;_xlpm.lo, MAX(0, 1 - (_xlpm.lo - _xlpm.t)/(_xlpm.lo*0.5)),
             MAX(0, 1 - (_xlpm.t - _xlpm.hi)/(_xlpm.hi*0.5))
   )
 )
)</f>
        <v>0.5508966938</v>
      </c>
      <c r="G172" s="2">
        <f>LET(
 _xlpm.h,dss_report!$C172, _xlpm.lo,45, _xlpm.hi,70,
 IF(AND(_xlpm.h&gt;=_xlpm.lo, _xlpm.h&lt;=_xlpm.hi), 1,
   IF(_xlpm.h&lt;_xlpm.lo, MAX(0, 1 - (_xlpm.lo - _xlpm.h)/(_xlpm.lo*0.5)),
             MAX(0, 1 - (_xlpm.h - _xlpm.hi)/(_xlpm.hi*0.5))
   )
 )
)</f>
        <v>0.4216674839</v>
      </c>
      <c r="H172" s="2">
        <f t="shared" si="1"/>
        <v>0.4992050099</v>
      </c>
      <c r="I172" s="2" t="b">
        <f>IF(OR(dss_report!$D172=TRUE, H172&lt;0.3), TRUE, FALSE)</f>
        <v>1</v>
      </c>
      <c r="J172" s="2" t="b">
        <f>IF( OR( AND(dss_report!$B172&gt;31, dss_report!$C172&lt;38), H172&lt;0.25 ), TRUE, FALSE)</f>
        <v>1</v>
      </c>
      <c r="K172" s="2">
        <f t="shared" si="2"/>
        <v>1</v>
      </c>
      <c r="L172" s="2">
        <f t="shared" si="3"/>
        <v>0</v>
      </c>
      <c r="M172" s="2">
        <f t="shared" si="4"/>
        <v>0</v>
      </c>
      <c r="N172" s="2">
        <f t="shared" si="5"/>
        <v>0</v>
      </c>
      <c r="O172" s="2">
        <f t="shared" si="6"/>
        <v>1</v>
      </c>
      <c r="P172" s="2">
        <f t="shared" si="7"/>
        <v>1</v>
      </c>
    </row>
    <row r="173" ht="14.25" customHeight="1">
      <c r="A173" s="4">
        <v>45445.78125</v>
      </c>
      <c r="B173" s="1">
        <v>33.20980538346941</v>
      </c>
      <c r="C173" s="1">
        <v>36.05470410292593</v>
      </c>
      <c r="D173" s="1" t="b">
        <f>IF(AND(dss_report!$B173&gt;30, dss_report!$C173&lt;40), TRUE, FALSE)</f>
        <v>1</v>
      </c>
      <c r="E173" s="1"/>
      <c r="F173" s="2">
        <f>LET(
 _xlpm.t,dss_report!$B173, _xlpm.lo,18, _xlpm.hi,28,
 IF(AND(_xlpm.t&gt;=_xlpm.lo, _xlpm.t&lt;=_xlpm.hi), 1,
   IF(_xlpm.t&lt;_xlpm.lo, MAX(0, 1 - (_xlpm.lo - _xlpm.t)/(_xlpm.lo*0.5)),
             MAX(0, 1 - (_xlpm.t - _xlpm.hi)/(_xlpm.hi*0.5))
   )
 )
)</f>
        <v>0.627871044</v>
      </c>
      <c r="G173" s="2">
        <f>LET(
 _xlpm.h,dss_report!$C173, _xlpm.lo,45, _xlpm.hi,70,
 IF(AND(_xlpm.h&gt;=_xlpm.lo, _xlpm.h&lt;=_xlpm.hi), 1,
   IF(_xlpm.h&lt;_xlpm.lo, MAX(0, 1 - (_xlpm.lo - _xlpm.h)/(_xlpm.lo*0.5)),
             MAX(0, 1 - (_xlpm.h - _xlpm.hi)/(_xlpm.hi*0.5))
   )
 )
)</f>
        <v>0.6024312935</v>
      </c>
      <c r="H173" s="2">
        <f t="shared" si="1"/>
        <v>0.6176951438</v>
      </c>
      <c r="I173" s="2" t="b">
        <f>IF(OR(dss_report!$D173=TRUE, H173&lt;0.3), TRUE, FALSE)</f>
        <v>1</v>
      </c>
      <c r="J173" s="2" t="b">
        <f>IF( OR( AND(dss_report!$B173&gt;31, dss_report!$C173&lt;38), H173&lt;0.25 ), TRUE, FALSE)</f>
        <v>1</v>
      </c>
      <c r="K173" s="2">
        <f t="shared" si="2"/>
        <v>1</v>
      </c>
      <c r="L173" s="2">
        <f t="shared" si="3"/>
        <v>0</v>
      </c>
      <c r="M173" s="2">
        <f t="shared" si="4"/>
        <v>0</v>
      </c>
      <c r="N173" s="2">
        <f t="shared" si="5"/>
        <v>0</v>
      </c>
      <c r="O173" s="2">
        <f t="shared" si="6"/>
        <v>1</v>
      </c>
      <c r="P173" s="2">
        <f t="shared" si="7"/>
        <v>1</v>
      </c>
    </row>
    <row r="174" ht="14.25" customHeight="1">
      <c r="A174" s="4">
        <v>45445.791666666664</v>
      </c>
      <c r="B174" s="1">
        <v>34.41642936095562</v>
      </c>
      <c r="C174" s="1">
        <v>31.819901392143827</v>
      </c>
      <c r="D174" s="1" t="b">
        <f>IF(AND(dss_report!$B174&gt;30, dss_report!$C174&lt;40), TRUE, FALSE)</f>
        <v>1</v>
      </c>
      <c r="E174" s="1"/>
      <c r="F174" s="2">
        <f>LET(
 _xlpm.t,dss_report!$B174, _xlpm.lo,18, _xlpm.hi,28,
 IF(AND(_xlpm.t&gt;=_xlpm.lo, _xlpm.t&lt;=_xlpm.hi), 1,
   IF(_xlpm.t&lt;_xlpm.lo, MAX(0, 1 - (_xlpm.lo - _xlpm.t)/(_xlpm.lo*0.5)),
             MAX(0, 1 - (_xlpm.t - _xlpm.hi)/(_xlpm.hi*0.5))
   )
 )
)</f>
        <v>0.5416836171</v>
      </c>
      <c r="G174" s="2">
        <f>LET(
 _xlpm.h,dss_report!$C174, _xlpm.lo,45, _xlpm.hi,70,
 IF(AND(_xlpm.h&gt;=_xlpm.lo, _xlpm.h&lt;=_xlpm.hi), 1,
   IF(_xlpm.h&lt;_xlpm.lo, MAX(0, 1 - (_xlpm.lo - _xlpm.h)/(_xlpm.lo*0.5)),
             MAX(0, 1 - (_xlpm.h - _xlpm.hi)/(_xlpm.hi*0.5))
   )
 )
)</f>
        <v>0.4142178397</v>
      </c>
      <c r="H174" s="2">
        <f t="shared" si="1"/>
        <v>0.4906973061</v>
      </c>
      <c r="I174" s="2" t="b">
        <f>IF(OR(dss_report!$D174=TRUE, H174&lt;0.3), TRUE, FALSE)</f>
        <v>1</v>
      </c>
      <c r="J174" s="2" t="b">
        <f>IF( OR( AND(dss_report!$B174&gt;31, dss_report!$C174&lt;38), H174&lt;0.25 ), TRUE, FALSE)</f>
        <v>1</v>
      </c>
      <c r="K174" s="2">
        <f t="shared" si="2"/>
        <v>1</v>
      </c>
      <c r="L174" s="2">
        <f t="shared" si="3"/>
        <v>0</v>
      </c>
      <c r="M174" s="2">
        <f t="shared" si="4"/>
        <v>0</v>
      </c>
      <c r="N174" s="2">
        <f t="shared" si="5"/>
        <v>0</v>
      </c>
      <c r="O174" s="2">
        <f t="shared" si="6"/>
        <v>1</v>
      </c>
      <c r="P174" s="2">
        <f t="shared" si="7"/>
        <v>1</v>
      </c>
    </row>
    <row r="175" ht="14.25" customHeight="1">
      <c r="A175" s="4">
        <v>45445.802083333336</v>
      </c>
      <c r="B175" s="1">
        <v>26.953363029421393</v>
      </c>
      <c r="C175" s="1">
        <v>55.30412012185405</v>
      </c>
      <c r="D175" s="1" t="b">
        <f>IF(AND(dss_report!$B175&gt;30, dss_report!$C175&lt;40), TRUE, FALSE)</f>
        <v>0</v>
      </c>
      <c r="E175" s="1"/>
      <c r="F175" s="2">
        <f>LET(
 _xlpm.t,dss_report!$B175, _xlpm.lo,18, _xlpm.hi,28,
 IF(AND(_xlpm.t&gt;=_xlpm.lo, _xlpm.t&lt;=_xlpm.hi), 1,
   IF(_xlpm.t&lt;_xlpm.lo, MAX(0, 1 - (_xlpm.lo - _xlpm.t)/(_xlpm.lo*0.5)),
             MAX(0, 1 - (_xlpm.t - _xlpm.hi)/(_xlpm.hi*0.5))
   )
 )
)</f>
        <v>1</v>
      </c>
      <c r="G175" s="2">
        <f>LET(
 _xlpm.h,dss_report!$C175, _xlpm.lo,45, _xlpm.hi,70,
 IF(AND(_xlpm.h&gt;=_xlpm.lo, _xlpm.h&lt;=_xlpm.hi), 1,
   IF(_xlpm.h&lt;_xlpm.lo, MAX(0, 1 - (_xlpm.lo - _xlpm.h)/(_xlpm.lo*0.5)),
             MAX(0, 1 - (_xlpm.h - _xlpm.hi)/(_xlpm.hi*0.5))
   )
 )
)</f>
        <v>1</v>
      </c>
      <c r="H175" s="2">
        <f t="shared" si="1"/>
        <v>1</v>
      </c>
      <c r="I175" s="2" t="b">
        <f>IF(OR(dss_report!$D175=TRUE, H175&lt;0.3), TRUE, FALSE)</f>
        <v>0</v>
      </c>
      <c r="J175" s="2" t="b">
        <f>IF( OR( AND(dss_report!$B175&gt;31, dss_report!$C175&lt;38), H175&lt;0.25 ), TRUE, FALSE)</f>
        <v>0</v>
      </c>
      <c r="K175" s="2">
        <f t="shared" si="2"/>
        <v>0</v>
      </c>
      <c r="L175" s="2">
        <f t="shared" si="3"/>
        <v>0</v>
      </c>
      <c r="M175" s="2">
        <f t="shared" si="4"/>
        <v>0</v>
      </c>
      <c r="N175" s="2">
        <f t="shared" si="5"/>
        <v>1</v>
      </c>
      <c r="O175" s="2">
        <f t="shared" si="6"/>
        <v>0</v>
      </c>
      <c r="P175" s="2">
        <f t="shared" si="7"/>
        <v>0</v>
      </c>
    </row>
    <row r="176" ht="14.25" customHeight="1">
      <c r="A176" s="4">
        <v>45445.8125</v>
      </c>
      <c r="B176" s="1">
        <v>24.475404209244616</v>
      </c>
      <c r="C176" s="1">
        <v>55.80705834570865</v>
      </c>
      <c r="D176" s="1" t="b">
        <f>IF(AND(dss_report!$B176&gt;30, dss_report!$C176&lt;40), TRUE, FALSE)</f>
        <v>0</v>
      </c>
      <c r="E176" s="1"/>
      <c r="F176" s="2">
        <f>LET(
 _xlpm.t,dss_report!$B176, _xlpm.lo,18, _xlpm.hi,28,
 IF(AND(_xlpm.t&gt;=_xlpm.lo, _xlpm.t&lt;=_xlpm.hi), 1,
   IF(_xlpm.t&lt;_xlpm.lo, MAX(0, 1 - (_xlpm.lo - _xlpm.t)/(_xlpm.lo*0.5)),
             MAX(0, 1 - (_xlpm.t - _xlpm.hi)/(_xlpm.hi*0.5))
   )
 )
)</f>
        <v>1</v>
      </c>
      <c r="G176" s="2">
        <f>LET(
 _xlpm.h,dss_report!$C176, _xlpm.lo,45, _xlpm.hi,70,
 IF(AND(_xlpm.h&gt;=_xlpm.lo, _xlpm.h&lt;=_xlpm.hi), 1,
   IF(_xlpm.h&lt;_xlpm.lo, MAX(0, 1 - (_xlpm.lo - _xlpm.h)/(_xlpm.lo*0.5)),
             MAX(0, 1 - (_xlpm.h - _xlpm.hi)/(_xlpm.hi*0.5))
   )
 )
)</f>
        <v>1</v>
      </c>
      <c r="H176" s="2">
        <f t="shared" si="1"/>
        <v>1</v>
      </c>
      <c r="I176" s="2" t="b">
        <f>IF(OR(dss_report!$D176=TRUE, H176&lt;0.3), TRUE, FALSE)</f>
        <v>0</v>
      </c>
      <c r="J176" s="2" t="b">
        <f>IF( OR( AND(dss_report!$B176&gt;31, dss_report!$C176&lt;38), H176&lt;0.25 ), TRUE, FALSE)</f>
        <v>0</v>
      </c>
      <c r="K176" s="2">
        <f t="shared" si="2"/>
        <v>0</v>
      </c>
      <c r="L176" s="2">
        <f t="shared" si="3"/>
        <v>0</v>
      </c>
      <c r="M176" s="2">
        <f t="shared" si="4"/>
        <v>0</v>
      </c>
      <c r="N176" s="2">
        <f t="shared" si="5"/>
        <v>1</v>
      </c>
      <c r="O176" s="2">
        <f t="shared" si="6"/>
        <v>0</v>
      </c>
      <c r="P176" s="2">
        <f t="shared" si="7"/>
        <v>0</v>
      </c>
    </row>
    <row r="177" ht="14.25" customHeight="1">
      <c r="A177" s="4">
        <v>45445.822916666664</v>
      </c>
      <c r="B177" s="1">
        <v>25.894970880146083</v>
      </c>
      <c r="C177" s="1">
        <v>58.832216941702306</v>
      </c>
      <c r="D177" s="1" t="b">
        <f>IF(AND(dss_report!$B177&gt;30, dss_report!$C177&lt;40), TRUE, FALSE)</f>
        <v>0</v>
      </c>
      <c r="E177" s="1"/>
      <c r="F177" s="2">
        <f>LET(
 _xlpm.t,dss_report!$B177, _xlpm.lo,18, _xlpm.hi,28,
 IF(AND(_xlpm.t&gt;=_xlpm.lo, _xlpm.t&lt;=_xlpm.hi), 1,
   IF(_xlpm.t&lt;_xlpm.lo, MAX(0, 1 - (_xlpm.lo - _xlpm.t)/(_xlpm.lo*0.5)),
             MAX(0, 1 - (_xlpm.t - _xlpm.hi)/(_xlpm.hi*0.5))
   )
 )
)</f>
        <v>1</v>
      </c>
      <c r="G177" s="2">
        <f>LET(
 _xlpm.h,dss_report!$C177, _xlpm.lo,45, _xlpm.hi,70,
 IF(AND(_xlpm.h&gt;=_xlpm.lo, _xlpm.h&lt;=_xlpm.hi), 1,
   IF(_xlpm.h&lt;_xlpm.lo, MAX(0, 1 - (_xlpm.lo - _xlpm.h)/(_xlpm.lo*0.5)),
             MAX(0, 1 - (_xlpm.h - _xlpm.hi)/(_xlpm.hi*0.5))
   )
 )
)</f>
        <v>1</v>
      </c>
      <c r="H177" s="2">
        <f t="shared" si="1"/>
        <v>1</v>
      </c>
      <c r="I177" s="2" t="b">
        <f>IF(OR(dss_report!$D177=TRUE, H177&lt;0.3), TRUE, FALSE)</f>
        <v>0</v>
      </c>
      <c r="J177" s="2" t="b">
        <f>IF( OR( AND(dss_report!$B177&gt;31, dss_report!$C177&lt;38), H177&lt;0.25 ), TRUE, FALSE)</f>
        <v>0</v>
      </c>
      <c r="K177" s="2">
        <f t="shared" si="2"/>
        <v>0</v>
      </c>
      <c r="L177" s="2">
        <f t="shared" si="3"/>
        <v>0</v>
      </c>
      <c r="M177" s="2">
        <f t="shared" si="4"/>
        <v>0</v>
      </c>
      <c r="N177" s="2">
        <f t="shared" si="5"/>
        <v>1</v>
      </c>
      <c r="O177" s="2">
        <f t="shared" si="6"/>
        <v>0</v>
      </c>
      <c r="P177" s="2">
        <f t="shared" si="7"/>
        <v>0</v>
      </c>
    </row>
    <row r="178" ht="14.25" customHeight="1">
      <c r="A178" s="4">
        <v>45445.833333333336</v>
      </c>
      <c r="B178" s="1">
        <v>26.135259606587336</v>
      </c>
      <c r="C178" s="1">
        <v>53.008211563481495</v>
      </c>
      <c r="D178" s="1" t="b">
        <f>IF(AND(dss_report!$B178&gt;30, dss_report!$C178&lt;40), TRUE, FALSE)</f>
        <v>0</v>
      </c>
      <c r="E178" s="1"/>
      <c r="F178" s="2">
        <f>LET(
 _xlpm.t,dss_report!$B178, _xlpm.lo,18, _xlpm.hi,28,
 IF(AND(_xlpm.t&gt;=_xlpm.lo, _xlpm.t&lt;=_xlpm.hi), 1,
   IF(_xlpm.t&lt;_xlpm.lo, MAX(0, 1 - (_xlpm.lo - _xlpm.t)/(_xlpm.lo*0.5)),
             MAX(0, 1 - (_xlpm.t - _xlpm.hi)/(_xlpm.hi*0.5))
   )
 )
)</f>
        <v>1</v>
      </c>
      <c r="G178" s="2">
        <f>LET(
 _xlpm.h,dss_report!$C178, _xlpm.lo,45, _xlpm.hi,70,
 IF(AND(_xlpm.h&gt;=_xlpm.lo, _xlpm.h&lt;=_xlpm.hi), 1,
   IF(_xlpm.h&lt;_xlpm.lo, MAX(0, 1 - (_xlpm.lo - _xlpm.h)/(_xlpm.lo*0.5)),
             MAX(0, 1 - (_xlpm.h - _xlpm.hi)/(_xlpm.hi*0.5))
   )
 )
)</f>
        <v>1</v>
      </c>
      <c r="H178" s="2">
        <f t="shared" si="1"/>
        <v>1</v>
      </c>
      <c r="I178" s="2" t="b">
        <f>IF(OR(dss_report!$D178=TRUE, H178&lt;0.3), TRUE, FALSE)</f>
        <v>0</v>
      </c>
      <c r="J178" s="2" t="b">
        <f>IF( OR( AND(dss_report!$B178&gt;31, dss_report!$C178&lt;38), H178&lt;0.25 ), TRUE, FALSE)</f>
        <v>0</v>
      </c>
      <c r="K178" s="2">
        <f t="shared" si="2"/>
        <v>0</v>
      </c>
      <c r="L178" s="2">
        <f t="shared" si="3"/>
        <v>0</v>
      </c>
      <c r="M178" s="2">
        <f t="shared" si="4"/>
        <v>0</v>
      </c>
      <c r="N178" s="2">
        <f t="shared" si="5"/>
        <v>1</v>
      </c>
      <c r="O178" s="2">
        <f t="shared" si="6"/>
        <v>0</v>
      </c>
      <c r="P178" s="2">
        <f t="shared" si="7"/>
        <v>0</v>
      </c>
    </row>
    <row r="179" ht="14.25" customHeight="1">
      <c r="A179" s="4">
        <v>45445.84375</v>
      </c>
      <c r="B179" s="1">
        <v>26.984497820313823</v>
      </c>
      <c r="C179" s="1">
        <v>56.59797106693169</v>
      </c>
      <c r="D179" s="1" t="b">
        <f>IF(AND(dss_report!$B179&gt;30, dss_report!$C179&lt;40), TRUE, FALSE)</f>
        <v>0</v>
      </c>
      <c r="E179" s="1"/>
      <c r="F179" s="2">
        <f>LET(
 _xlpm.t,dss_report!$B179, _xlpm.lo,18, _xlpm.hi,28,
 IF(AND(_xlpm.t&gt;=_xlpm.lo, _xlpm.t&lt;=_xlpm.hi), 1,
   IF(_xlpm.t&lt;_xlpm.lo, MAX(0, 1 - (_xlpm.lo - _xlpm.t)/(_xlpm.lo*0.5)),
             MAX(0, 1 - (_xlpm.t - _xlpm.hi)/(_xlpm.hi*0.5))
   )
 )
)</f>
        <v>1</v>
      </c>
      <c r="G179" s="2">
        <f>LET(
 _xlpm.h,dss_report!$C179, _xlpm.lo,45, _xlpm.hi,70,
 IF(AND(_xlpm.h&gt;=_xlpm.lo, _xlpm.h&lt;=_xlpm.hi), 1,
   IF(_xlpm.h&lt;_xlpm.lo, MAX(0, 1 - (_xlpm.lo - _xlpm.h)/(_xlpm.lo*0.5)),
             MAX(0, 1 - (_xlpm.h - _xlpm.hi)/(_xlpm.hi*0.5))
   )
 )
)</f>
        <v>1</v>
      </c>
      <c r="H179" s="2">
        <f t="shared" si="1"/>
        <v>1</v>
      </c>
      <c r="I179" s="2" t="b">
        <f>IF(OR(dss_report!$D179=TRUE, H179&lt;0.3), TRUE, FALSE)</f>
        <v>0</v>
      </c>
      <c r="J179" s="2" t="b">
        <f>IF( OR( AND(dss_report!$B179&gt;31, dss_report!$C179&lt;38), H179&lt;0.25 ), TRUE, FALSE)</f>
        <v>0</v>
      </c>
      <c r="K179" s="2">
        <f t="shared" si="2"/>
        <v>0</v>
      </c>
      <c r="L179" s="2">
        <f t="shared" si="3"/>
        <v>0</v>
      </c>
      <c r="M179" s="2">
        <f t="shared" si="4"/>
        <v>0</v>
      </c>
      <c r="N179" s="2">
        <f t="shared" si="5"/>
        <v>1</v>
      </c>
      <c r="O179" s="2">
        <f t="shared" si="6"/>
        <v>0</v>
      </c>
      <c r="P179" s="2">
        <f t="shared" si="7"/>
        <v>0</v>
      </c>
    </row>
    <row r="180" ht="14.25" customHeight="1">
      <c r="A180" s="4">
        <v>45445.854166666664</v>
      </c>
      <c r="B180" s="1">
        <v>26.56565095911495</v>
      </c>
      <c r="C180" s="1">
        <v>54.98584520504535</v>
      </c>
      <c r="D180" s="1" t="b">
        <f>IF(AND(dss_report!$B180&gt;30, dss_report!$C180&lt;40), TRUE, FALSE)</f>
        <v>0</v>
      </c>
      <c r="E180" s="1"/>
      <c r="F180" s="2">
        <f>LET(
 _xlpm.t,dss_report!$B180, _xlpm.lo,18, _xlpm.hi,28,
 IF(AND(_xlpm.t&gt;=_xlpm.lo, _xlpm.t&lt;=_xlpm.hi), 1,
   IF(_xlpm.t&lt;_xlpm.lo, MAX(0, 1 - (_xlpm.lo - _xlpm.t)/(_xlpm.lo*0.5)),
             MAX(0, 1 - (_xlpm.t - _xlpm.hi)/(_xlpm.hi*0.5))
   )
 )
)</f>
        <v>1</v>
      </c>
      <c r="G180" s="2">
        <f>LET(
 _xlpm.h,dss_report!$C180, _xlpm.lo,45, _xlpm.hi,70,
 IF(AND(_xlpm.h&gt;=_xlpm.lo, _xlpm.h&lt;=_xlpm.hi), 1,
   IF(_xlpm.h&lt;_xlpm.lo, MAX(0, 1 - (_xlpm.lo - _xlpm.h)/(_xlpm.lo*0.5)),
             MAX(0, 1 - (_xlpm.h - _xlpm.hi)/(_xlpm.hi*0.5))
   )
 )
)</f>
        <v>1</v>
      </c>
      <c r="H180" s="2">
        <f t="shared" si="1"/>
        <v>1</v>
      </c>
      <c r="I180" s="2" t="b">
        <f>IF(OR(dss_report!$D180=TRUE, H180&lt;0.3), TRUE, FALSE)</f>
        <v>0</v>
      </c>
      <c r="J180" s="2" t="b">
        <f>IF( OR( AND(dss_report!$B180&gt;31, dss_report!$C180&lt;38), H180&lt;0.25 ), TRUE, FALSE)</f>
        <v>0</v>
      </c>
      <c r="K180" s="2">
        <f t="shared" si="2"/>
        <v>0</v>
      </c>
      <c r="L180" s="2">
        <f t="shared" si="3"/>
        <v>0</v>
      </c>
      <c r="M180" s="2">
        <f t="shared" si="4"/>
        <v>0</v>
      </c>
      <c r="N180" s="2">
        <f t="shared" si="5"/>
        <v>1</v>
      </c>
      <c r="O180" s="2">
        <f t="shared" si="6"/>
        <v>0</v>
      </c>
      <c r="P180" s="2">
        <f t="shared" si="7"/>
        <v>0</v>
      </c>
    </row>
    <row r="181" ht="14.25" customHeight="1">
      <c r="A181" s="4">
        <v>45445.864583333336</v>
      </c>
      <c r="B181" s="1">
        <v>26.605224221851888</v>
      </c>
      <c r="C181" s="1">
        <v>54.11075345048961</v>
      </c>
      <c r="D181" s="1" t="b">
        <f>IF(AND(dss_report!$B181&gt;30, dss_report!$C181&lt;40), TRUE, FALSE)</f>
        <v>0</v>
      </c>
      <c r="E181" s="1"/>
      <c r="F181" s="2">
        <f>LET(
 _xlpm.t,dss_report!$B181, _xlpm.lo,18, _xlpm.hi,28,
 IF(AND(_xlpm.t&gt;=_xlpm.lo, _xlpm.t&lt;=_xlpm.hi), 1,
   IF(_xlpm.t&lt;_xlpm.lo, MAX(0, 1 - (_xlpm.lo - _xlpm.t)/(_xlpm.lo*0.5)),
             MAX(0, 1 - (_xlpm.t - _xlpm.hi)/(_xlpm.hi*0.5))
   )
 )
)</f>
        <v>1</v>
      </c>
      <c r="G181" s="2">
        <f>LET(
 _xlpm.h,dss_report!$C181, _xlpm.lo,45, _xlpm.hi,70,
 IF(AND(_xlpm.h&gt;=_xlpm.lo, _xlpm.h&lt;=_xlpm.hi), 1,
   IF(_xlpm.h&lt;_xlpm.lo, MAX(0, 1 - (_xlpm.lo - _xlpm.h)/(_xlpm.lo*0.5)),
             MAX(0, 1 - (_xlpm.h - _xlpm.hi)/(_xlpm.hi*0.5))
   )
 )
)</f>
        <v>1</v>
      </c>
      <c r="H181" s="2">
        <f t="shared" si="1"/>
        <v>1</v>
      </c>
      <c r="I181" s="2" t="b">
        <f>IF(OR(dss_report!$D181=TRUE, H181&lt;0.3), TRUE, FALSE)</f>
        <v>0</v>
      </c>
      <c r="J181" s="2" t="b">
        <f>IF( OR( AND(dss_report!$B181&gt;31, dss_report!$C181&lt;38), H181&lt;0.25 ), TRUE, FALSE)</f>
        <v>0</v>
      </c>
      <c r="K181" s="2">
        <f t="shared" si="2"/>
        <v>0</v>
      </c>
      <c r="L181" s="2">
        <f t="shared" si="3"/>
        <v>0</v>
      </c>
      <c r="M181" s="2">
        <f t="shared" si="4"/>
        <v>0</v>
      </c>
      <c r="N181" s="2">
        <f t="shared" si="5"/>
        <v>1</v>
      </c>
      <c r="O181" s="2">
        <f t="shared" si="6"/>
        <v>0</v>
      </c>
      <c r="P181" s="2">
        <f t="shared" si="7"/>
        <v>0</v>
      </c>
    </row>
    <row r="182" ht="14.25" customHeight="1">
      <c r="A182" s="4">
        <v>45445.875</v>
      </c>
      <c r="B182" s="1">
        <v>26.837228397609042</v>
      </c>
      <c r="C182" s="1">
        <v>51.80178567454868</v>
      </c>
      <c r="D182" s="1" t="b">
        <f>IF(AND(dss_report!$B182&gt;30, dss_report!$C182&lt;40), TRUE, FALSE)</f>
        <v>0</v>
      </c>
      <c r="E182" s="1"/>
      <c r="F182" s="2">
        <f>LET(
 _xlpm.t,dss_report!$B182, _xlpm.lo,18, _xlpm.hi,28,
 IF(AND(_xlpm.t&gt;=_xlpm.lo, _xlpm.t&lt;=_xlpm.hi), 1,
   IF(_xlpm.t&lt;_xlpm.lo, MAX(0, 1 - (_xlpm.lo - _xlpm.t)/(_xlpm.lo*0.5)),
             MAX(0, 1 - (_xlpm.t - _xlpm.hi)/(_xlpm.hi*0.5))
   )
 )
)</f>
        <v>1</v>
      </c>
      <c r="G182" s="2">
        <f>LET(
 _xlpm.h,dss_report!$C182, _xlpm.lo,45, _xlpm.hi,70,
 IF(AND(_xlpm.h&gt;=_xlpm.lo, _xlpm.h&lt;=_xlpm.hi), 1,
   IF(_xlpm.h&lt;_xlpm.lo, MAX(0, 1 - (_xlpm.lo - _xlpm.h)/(_xlpm.lo*0.5)),
             MAX(0, 1 - (_xlpm.h - _xlpm.hi)/(_xlpm.hi*0.5))
   )
 )
)</f>
        <v>1</v>
      </c>
      <c r="H182" s="2">
        <f t="shared" si="1"/>
        <v>1</v>
      </c>
      <c r="I182" s="2" t="b">
        <f>IF(OR(dss_report!$D182=TRUE, H182&lt;0.3), TRUE, FALSE)</f>
        <v>0</v>
      </c>
      <c r="J182" s="2" t="b">
        <f>IF( OR( AND(dss_report!$B182&gt;31, dss_report!$C182&lt;38), H182&lt;0.25 ), TRUE, FALSE)</f>
        <v>0</v>
      </c>
      <c r="K182" s="2">
        <f t="shared" si="2"/>
        <v>0</v>
      </c>
      <c r="L182" s="2">
        <f t="shared" si="3"/>
        <v>0</v>
      </c>
      <c r="M182" s="2">
        <f t="shared" si="4"/>
        <v>0</v>
      </c>
      <c r="N182" s="2">
        <f t="shared" si="5"/>
        <v>1</v>
      </c>
      <c r="O182" s="2">
        <f t="shared" si="6"/>
        <v>0</v>
      </c>
      <c r="P182" s="2">
        <f t="shared" si="7"/>
        <v>0</v>
      </c>
    </row>
    <row r="183" ht="14.25" customHeight="1">
      <c r="A183" s="4">
        <v>45445.885416666664</v>
      </c>
      <c r="B183" s="1">
        <v>28.282518505172867</v>
      </c>
      <c r="C183" s="1">
        <v>57.89383830850372</v>
      </c>
      <c r="D183" s="1" t="b">
        <f>IF(AND(dss_report!$B183&gt;30, dss_report!$C183&lt;40), TRUE, FALSE)</f>
        <v>0</v>
      </c>
      <c r="E183" s="1"/>
      <c r="F183" s="2">
        <f>LET(
 _xlpm.t,dss_report!$B183, _xlpm.lo,18, _xlpm.hi,28,
 IF(AND(_xlpm.t&gt;=_xlpm.lo, _xlpm.t&lt;=_xlpm.hi), 1,
   IF(_xlpm.t&lt;_xlpm.lo, MAX(0, 1 - (_xlpm.lo - _xlpm.t)/(_xlpm.lo*0.5)),
             MAX(0, 1 - (_xlpm.t - _xlpm.hi)/(_xlpm.hi*0.5))
   )
 )
)</f>
        <v>0.9798201068</v>
      </c>
      <c r="G183" s="2">
        <f>LET(
 _xlpm.h,dss_report!$C183, _xlpm.lo,45, _xlpm.hi,70,
 IF(AND(_xlpm.h&gt;=_xlpm.lo, _xlpm.h&lt;=_xlpm.hi), 1,
   IF(_xlpm.h&lt;_xlpm.lo, MAX(0, 1 - (_xlpm.lo - _xlpm.h)/(_xlpm.lo*0.5)),
             MAX(0, 1 - (_xlpm.h - _xlpm.hi)/(_xlpm.hi*0.5))
   )
 )
)</f>
        <v>1</v>
      </c>
      <c r="H183" s="2">
        <f t="shared" si="1"/>
        <v>0.9878920641</v>
      </c>
      <c r="I183" s="2" t="b">
        <f>IF(OR(dss_report!$D183=TRUE, H183&lt;0.3), TRUE, FALSE)</f>
        <v>0</v>
      </c>
      <c r="J183" s="2" t="b">
        <f>IF( OR( AND(dss_report!$B183&gt;31, dss_report!$C183&lt;38), H183&lt;0.25 ), TRUE, FALSE)</f>
        <v>0</v>
      </c>
      <c r="K183" s="2">
        <f t="shared" si="2"/>
        <v>0</v>
      </c>
      <c r="L183" s="2">
        <f t="shared" si="3"/>
        <v>0</v>
      </c>
      <c r="M183" s="2">
        <f t="shared" si="4"/>
        <v>0</v>
      </c>
      <c r="N183" s="2">
        <f t="shared" si="5"/>
        <v>1</v>
      </c>
      <c r="O183" s="2">
        <f t="shared" si="6"/>
        <v>0</v>
      </c>
      <c r="P183" s="2">
        <f t="shared" si="7"/>
        <v>0</v>
      </c>
    </row>
    <row r="184" ht="14.25" customHeight="1">
      <c r="A184" s="4">
        <v>45445.895833333336</v>
      </c>
      <c r="B184" s="1">
        <v>28.59965293251059</v>
      </c>
      <c r="C184" s="1">
        <v>54.83459679280355</v>
      </c>
      <c r="D184" s="1" t="b">
        <f>IF(AND(dss_report!$B184&gt;30, dss_report!$C184&lt;40), TRUE, FALSE)</f>
        <v>0</v>
      </c>
      <c r="E184" s="1"/>
      <c r="F184" s="2">
        <f>LET(
 _xlpm.t,dss_report!$B184, _xlpm.lo,18, _xlpm.hi,28,
 IF(AND(_xlpm.t&gt;=_xlpm.lo, _xlpm.t&lt;=_xlpm.hi), 1,
   IF(_xlpm.t&lt;_xlpm.lo, MAX(0, 1 - (_xlpm.lo - _xlpm.t)/(_xlpm.lo*0.5)),
             MAX(0, 1 - (_xlpm.t - _xlpm.hi)/(_xlpm.hi*0.5))
   )
 )
)</f>
        <v>0.9571676477</v>
      </c>
      <c r="G184" s="2">
        <f>LET(
 _xlpm.h,dss_report!$C184, _xlpm.lo,45, _xlpm.hi,70,
 IF(AND(_xlpm.h&gt;=_xlpm.lo, _xlpm.h&lt;=_xlpm.hi), 1,
   IF(_xlpm.h&lt;_xlpm.lo, MAX(0, 1 - (_xlpm.lo - _xlpm.h)/(_xlpm.lo*0.5)),
             MAX(0, 1 - (_xlpm.h - _xlpm.hi)/(_xlpm.hi*0.5))
   )
 )
)</f>
        <v>1</v>
      </c>
      <c r="H184" s="2">
        <f t="shared" si="1"/>
        <v>0.9743005886</v>
      </c>
      <c r="I184" s="2" t="b">
        <f>IF(OR(dss_report!$D184=TRUE, H184&lt;0.3), TRUE, FALSE)</f>
        <v>0</v>
      </c>
      <c r="J184" s="2" t="b">
        <f>IF( OR( AND(dss_report!$B184&gt;31, dss_report!$C184&lt;38), H184&lt;0.25 ), TRUE, FALSE)</f>
        <v>0</v>
      </c>
      <c r="K184" s="2">
        <f t="shared" si="2"/>
        <v>0</v>
      </c>
      <c r="L184" s="2">
        <f t="shared" si="3"/>
        <v>0</v>
      </c>
      <c r="M184" s="2">
        <f t="shared" si="4"/>
        <v>0</v>
      </c>
      <c r="N184" s="2">
        <f t="shared" si="5"/>
        <v>1</v>
      </c>
      <c r="O184" s="2">
        <f t="shared" si="6"/>
        <v>0</v>
      </c>
      <c r="P184" s="2">
        <f t="shared" si="7"/>
        <v>0</v>
      </c>
    </row>
    <row r="185" ht="14.25" customHeight="1">
      <c r="A185" s="4">
        <v>45445.90625</v>
      </c>
      <c r="B185" s="1">
        <v>26.817979342362417</v>
      </c>
      <c r="C185" s="1">
        <v>55.42452488635011</v>
      </c>
      <c r="D185" s="1" t="b">
        <f>IF(AND(dss_report!$B185&gt;30, dss_report!$C185&lt;40), TRUE, FALSE)</f>
        <v>0</v>
      </c>
      <c r="E185" s="1"/>
      <c r="F185" s="2">
        <f>LET(
 _xlpm.t,dss_report!$B185, _xlpm.lo,18, _xlpm.hi,28,
 IF(AND(_xlpm.t&gt;=_xlpm.lo, _xlpm.t&lt;=_xlpm.hi), 1,
   IF(_xlpm.t&lt;_xlpm.lo, MAX(0, 1 - (_xlpm.lo - _xlpm.t)/(_xlpm.lo*0.5)),
             MAX(0, 1 - (_xlpm.t - _xlpm.hi)/(_xlpm.hi*0.5))
   )
 )
)</f>
        <v>1</v>
      </c>
      <c r="G185" s="2">
        <f>LET(
 _xlpm.h,dss_report!$C185, _xlpm.lo,45, _xlpm.hi,70,
 IF(AND(_xlpm.h&gt;=_xlpm.lo, _xlpm.h&lt;=_xlpm.hi), 1,
   IF(_xlpm.h&lt;_xlpm.lo, MAX(0, 1 - (_xlpm.lo - _xlpm.h)/(_xlpm.lo*0.5)),
             MAX(0, 1 - (_xlpm.h - _xlpm.hi)/(_xlpm.hi*0.5))
   )
 )
)</f>
        <v>1</v>
      </c>
      <c r="H185" s="2">
        <f t="shared" si="1"/>
        <v>1</v>
      </c>
      <c r="I185" s="2" t="b">
        <f>IF(OR(dss_report!$D185=TRUE, H185&lt;0.3), TRUE, FALSE)</f>
        <v>0</v>
      </c>
      <c r="J185" s="2" t="b">
        <f>IF( OR( AND(dss_report!$B185&gt;31, dss_report!$C185&lt;38), H185&lt;0.25 ), TRUE, FALSE)</f>
        <v>0</v>
      </c>
      <c r="K185" s="2">
        <f t="shared" si="2"/>
        <v>0</v>
      </c>
      <c r="L185" s="2">
        <f t="shared" si="3"/>
        <v>0</v>
      </c>
      <c r="M185" s="2">
        <f t="shared" si="4"/>
        <v>0</v>
      </c>
      <c r="N185" s="2">
        <f t="shared" si="5"/>
        <v>1</v>
      </c>
      <c r="O185" s="2">
        <f t="shared" si="6"/>
        <v>0</v>
      </c>
      <c r="P185" s="2">
        <f t="shared" si="7"/>
        <v>0</v>
      </c>
    </row>
    <row r="186" ht="14.25" customHeight="1">
      <c r="A186" s="4">
        <v>45445.916666666664</v>
      </c>
      <c r="B186" s="1">
        <v>26.6297420595096</v>
      </c>
      <c r="C186" s="1">
        <v>57.985308601514475</v>
      </c>
      <c r="D186" s="1" t="b">
        <f>IF(AND(dss_report!$B186&gt;30, dss_report!$C186&lt;40), TRUE, FALSE)</f>
        <v>0</v>
      </c>
      <c r="E186" s="1"/>
      <c r="F186" s="2">
        <f>LET(
 _xlpm.t,dss_report!$B186, _xlpm.lo,18, _xlpm.hi,28,
 IF(AND(_xlpm.t&gt;=_xlpm.lo, _xlpm.t&lt;=_xlpm.hi), 1,
   IF(_xlpm.t&lt;_xlpm.lo, MAX(0, 1 - (_xlpm.lo - _xlpm.t)/(_xlpm.lo*0.5)),
             MAX(0, 1 - (_xlpm.t - _xlpm.hi)/(_xlpm.hi*0.5))
   )
 )
)</f>
        <v>1</v>
      </c>
      <c r="G186" s="2">
        <f>LET(
 _xlpm.h,dss_report!$C186, _xlpm.lo,45, _xlpm.hi,70,
 IF(AND(_xlpm.h&gt;=_xlpm.lo, _xlpm.h&lt;=_xlpm.hi), 1,
   IF(_xlpm.h&lt;_xlpm.lo, MAX(0, 1 - (_xlpm.lo - _xlpm.h)/(_xlpm.lo*0.5)),
             MAX(0, 1 - (_xlpm.h - _xlpm.hi)/(_xlpm.hi*0.5))
   )
 )
)</f>
        <v>1</v>
      </c>
      <c r="H186" s="2">
        <f t="shared" si="1"/>
        <v>1</v>
      </c>
      <c r="I186" s="2" t="b">
        <f>IF(OR(dss_report!$D186=TRUE, H186&lt;0.3), TRUE, FALSE)</f>
        <v>0</v>
      </c>
      <c r="J186" s="2" t="b">
        <f>IF( OR( AND(dss_report!$B186&gt;31, dss_report!$C186&lt;38), H186&lt;0.25 ), TRUE, FALSE)</f>
        <v>0</v>
      </c>
      <c r="K186" s="2">
        <f t="shared" si="2"/>
        <v>0</v>
      </c>
      <c r="L186" s="2">
        <f t="shared" si="3"/>
        <v>0</v>
      </c>
      <c r="M186" s="2">
        <f t="shared" si="4"/>
        <v>0</v>
      </c>
      <c r="N186" s="2">
        <f t="shared" si="5"/>
        <v>1</v>
      </c>
      <c r="O186" s="2">
        <f t="shared" si="6"/>
        <v>0</v>
      </c>
      <c r="P186" s="2">
        <f t="shared" si="7"/>
        <v>0</v>
      </c>
    </row>
    <row r="187" ht="14.25" customHeight="1">
      <c r="A187" s="4">
        <v>45445.927083333336</v>
      </c>
      <c r="B187" s="1">
        <v>29.250575087172447</v>
      </c>
      <c r="C187" s="1">
        <v>54.99325173926041</v>
      </c>
      <c r="D187" s="1" t="b">
        <f>IF(AND(dss_report!$B187&gt;30, dss_report!$C187&lt;40), TRUE, FALSE)</f>
        <v>0</v>
      </c>
      <c r="E187" s="1"/>
      <c r="F187" s="2">
        <f>LET(
 _xlpm.t,dss_report!$B187, _xlpm.lo,18, _xlpm.hi,28,
 IF(AND(_xlpm.t&gt;=_xlpm.lo, _xlpm.t&lt;=_xlpm.hi), 1,
   IF(_xlpm.t&lt;_xlpm.lo, MAX(0, 1 - (_xlpm.lo - _xlpm.t)/(_xlpm.lo*0.5)),
             MAX(0, 1 - (_xlpm.t - _xlpm.hi)/(_xlpm.hi*0.5))
   )
 )
)</f>
        <v>0.9106732081</v>
      </c>
      <c r="G187" s="2">
        <f>LET(
 _xlpm.h,dss_report!$C187, _xlpm.lo,45, _xlpm.hi,70,
 IF(AND(_xlpm.h&gt;=_xlpm.lo, _xlpm.h&lt;=_xlpm.hi), 1,
   IF(_xlpm.h&lt;_xlpm.lo, MAX(0, 1 - (_xlpm.lo - _xlpm.h)/(_xlpm.lo*0.5)),
             MAX(0, 1 - (_xlpm.h - _xlpm.hi)/(_xlpm.hi*0.5))
   )
 )
)</f>
        <v>1</v>
      </c>
      <c r="H187" s="2">
        <f t="shared" si="1"/>
        <v>0.9464039248</v>
      </c>
      <c r="I187" s="2" t="b">
        <f>IF(OR(dss_report!$D187=TRUE, H187&lt;0.3), TRUE, FALSE)</f>
        <v>0</v>
      </c>
      <c r="J187" s="2" t="b">
        <f>IF( OR( AND(dss_report!$B187&gt;31, dss_report!$C187&lt;38), H187&lt;0.25 ), TRUE, FALSE)</f>
        <v>0</v>
      </c>
      <c r="K187" s="2">
        <f t="shared" si="2"/>
        <v>0</v>
      </c>
      <c r="L187" s="2">
        <f t="shared" si="3"/>
        <v>0</v>
      </c>
      <c r="M187" s="2">
        <f t="shared" si="4"/>
        <v>0</v>
      </c>
      <c r="N187" s="2">
        <f t="shared" si="5"/>
        <v>1</v>
      </c>
      <c r="O187" s="2">
        <f t="shared" si="6"/>
        <v>0</v>
      </c>
      <c r="P187" s="2">
        <f t="shared" si="7"/>
        <v>0</v>
      </c>
    </row>
    <row r="188" ht="14.25" customHeight="1">
      <c r="A188" s="4">
        <v>45445.9375</v>
      </c>
      <c r="B188" s="1">
        <v>26.76242582574872</v>
      </c>
      <c r="C188" s="1">
        <v>57.319813018415445</v>
      </c>
      <c r="D188" s="1" t="b">
        <f>IF(AND(dss_report!$B188&gt;30, dss_report!$C188&lt;40), TRUE, FALSE)</f>
        <v>0</v>
      </c>
      <c r="E188" s="1"/>
      <c r="F188" s="2">
        <f>LET(
 _xlpm.t,dss_report!$B188, _xlpm.lo,18, _xlpm.hi,28,
 IF(AND(_xlpm.t&gt;=_xlpm.lo, _xlpm.t&lt;=_xlpm.hi), 1,
   IF(_xlpm.t&lt;_xlpm.lo, MAX(0, 1 - (_xlpm.lo - _xlpm.t)/(_xlpm.lo*0.5)),
             MAX(0, 1 - (_xlpm.t - _xlpm.hi)/(_xlpm.hi*0.5))
   )
 )
)</f>
        <v>1</v>
      </c>
      <c r="G188" s="2">
        <f>LET(
 _xlpm.h,dss_report!$C188, _xlpm.lo,45, _xlpm.hi,70,
 IF(AND(_xlpm.h&gt;=_xlpm.lo, _xlpm.h&lt;=_xlpm.hi), 1,
   IF(_xlpm.h&lt;_xlpm.lo, MAX(0, 1 - (_xlpm.lo - _xlpm.h)/(_xlpm.lo*0.5)),
             MAX(0, 1 - (_xlpm.h - _xlpm.hi)/(_xlpm.hi*0.5))
   )
 )
)</f>
        <v>1</v>
      </c>
      <c r="H188" s="2">
        <f t="shared" si="1"/>
        <v>1</v>
      </c>
      <c r="I188" s="2" t="b">
        <f>IF(OR(dss_report!$D188=TRUE, H188&lt;0.3), TRUE, FALSE)</f>
        <v>0</v>
      </c>
      <c r="J188" s="2" t="b">
        <f>IF( OR( AND(dss_report!$B188&gt;31, dss_report!$C188&lt;38), H188&lt;0.25 ), TRUE, FALSE)</f>
        <v>0</v>
      </c>
      <c r="K188" s="2">
        <f t="shared" si="2"/>
        <v>0</v>
      </c>
      <c r="L188" s="2">
        <f t="shared" si="3"/>
        <v>0</v>
      </c>
      <c r="M188" s="2">
        <f t="shared" si="4"/>
        <v>0</v>
      </c>
      <c r="N188" s="2">
        <f t="shared" si="5"/>
        <v>1</v>
      </c>
      <c r="O188" s="2">
        <f t="shared" si="6"/>
        <v>0</v>
      </c>
      <c r="P188" s="2">
        <f t="shared" si="7"/>
        <v>0</v>
      </c>
    </row>
    <row r="189" ht="14.25" customHeight="1">
      <c r="A189" s="4">
        <v>45445.947916666664</v>
      </c>
      <c r="B189" s="1">
        <v>27.123981213079876</v>
      </c>
      <c r="C189" s="1">
        <v>57.21825875122532</v>
      </c>
      <c r="D189" s="1" t="b">
        <f>IF(AND(dss_report!$B189&gt;30, dss_report!$C189&lt;40), TRUE, FALSE)</f>
        <v>0</v>
      </c>
      <c r="E189" s="1"/>
      <c r="F189" s="2">
        <f>LET(
 _xlpm.t,dss_report!$B189, _xlpm.lo,18, _xlpm.hi,28,
 IF(AND(_xlpm.t&gt;=_xlpm.lo, _xlpm.t&lt;=_xlpm.hi), 1,
   IF(_xlpm.t&lt;_xlpm.lo, MAX(0, 1 - (_xlpm.lo - _xlpm.t)/(_xlpm.lo*0.5)),
             MAX(0, 1 - (_xlpm.t - _xlpm.hi)/(_xlpm.hi*0.5))
   )
 )
)</f>
        <v>1</v>
      </c>
      <c r="G189" s="2">
        <f>LET(
 _xlpm.h,dss_report!$C189, _xlpm.lo,45, _xlpm.hi,70,
 IF(AND(_xlpm.h&gt;=_xlpm.lo, _xlpm.h&lt;=_xlpm.hi), 1,
   IF(_xlpm.h&lt;_xlpm.lo, MAX(0, 1 - (_xlpm.lo - _xlpm.h)/(_xlpm.lo*0.5)),
             MAX(0, 1 - (_xlpm.h - _xlpm.hi)/(_xlpm.hi*0.5))
   )
 )
)</f>
        <v>1</v>
      </c>
      <c r="H189" s="2">
        <f t="shared" si="1"/>
        <v>1</v>
      </c>
      <c r="I189" s="2" t="b">
        <f>IF(OR(dss_report!$D189=TRUE, H189&lt;0.3), TRUE, FALSE)</f>
        <v>0</v>
      </c>
      <c r="J189" s="2" t="b">
        <f>IF( OR( AND(dss_report!$B189&gt;31, dss_report!$C189&lt;38), H189&lt;0.25 ), TRUE, FALSE)</f>
        <v>0</v>
      </c>
      <c r="K189" s="2">
        <f t="shared" si="2"/>
        <v>0</v>
      </c>
      <c r="L189" s="2">
        <f t="shared" si="3"/>
        <v>0</v>
      </c>
      <c r="M189" s="2">
        <f t="shared" si="4"/>
        <v>0</v>
      </c>
      <c r="N189" s="2">
        <f t="shared" si="5"/>
        <v>1</v>
      </c>
      <c r="O189" s="2">
        <f t="shared" si="6"/>
        <v>0</v>
      </c>
      <c r="P189" s="2">
        <f t="shared" si="7"/>
        <v>0</v>
      </c>
    </row>
    <row r="190" ht="14.25" customHeight="1">
      <c r="A190" s="4">
        <v>45445.958333333336</v>
      </c>
      <c r="B190" s="1">
        <v>27.62262210711637</v>
      </c>
      <c r="C190" s="1">
        <v>59.06467546790464</v>
      </c>
      <c r="D190" s="1" t="b">
        <f>IF(AND(dss_report!$B190&gt;30, dss_report!$C190&lt;40), TRUE, FALSE)</f>
        <v>0</v>
      </c>
      <c r="E190" s="1"/>
      <c r="F190" s="2">
        <f>LET(
 _xlpm.t,dss_report!$B190, _xlpm.lo,18, _xlpm.hi,28,
 IF(AND(_xlpm.t&gt;=_xlpm.lo, _xlpm.t&lt;=_xlpm.hi), 1,
   IF(_xlpm.t&lt;_xlpm.lo, MAX(0, 1 - (_xlpm.lo - _xlpm.t)/(_xlpm.lo*0.5)),
             MAX(0, 1 - (_xlpm.t - _xlpm.hi)/(_xlpm.hi*0.5))
   )
 )
)</f>
        <v>1</v>
      </c>
      <c r="G190" s="2">
        <f>LET(
 _xlpm.h,dss_report!$C190, _xlpm.lo,45, _xlpm.hi,70,
 IF(AND(_xlpm.h&gt;=_xlpm.lo, _xlpm.h&lt;=_xlpm.hi), 1,
   IF(_xlpm.h&lt;_xlpm.lo, MAX(0, 1 - (_xlpm.lo - _xlpm.h)/(_xlpm.lo*0.5)),
             MAX(0, 1 - (_xlpm.h - _xlpm.hi)/(_xlpm.hi*0.5))
   )
 )
)</f>
        <v>1</v>
      </c>
      <c r="H190" s="2">
        <f t="shared" si="1"/>
        <v>1</v>
      </c>
      <c r="I190" s="2" t="b">
        <f>IF(OR(dss_report!$D190=TRUE, H190&lt;0.3), TRUE, FALSE)</f>
        <v>0</v>
      </c>
      <c r="J190" s="2" t="b">
        <f>IF( OR( AND(dss_report!$B190&gt;31, dss_report!$C190&lt;38), H190&lt;0.25 ), TRUE, FALSE)</f>
        <v>0</v>
      </c>
      <c r="K190" s="2">
        <f t="shared" si="2"/>
        <v>0</v>
      </c>
      <c r="L190" s="2">
        <f t="shared" si="3"/>
        <v>0</v>
      </c>
      <c r="M190" s="2">
        <f t="shared" si="4"/>
        <v>0</v>
      </c>
      <c r="N190" s="2">
        <f t="shared" si="5"/>
        <v>1</v>
      </c>
      <c r="O190" s="2">
        <f t="shared" si="6"/>
        <v>0</v>
      </c>
      <c r="P190" s="2">
        <f t="shared" si="7"/>
        <v>0</v>
      </c>
    </row>
    <row r="191" ht="14.25" customHeight="1">
      <c r="A191" s="4">
        <v>45445.96875</v>
      </c>
      <c r="B191" s="1">
        <v>28.001365677521893</v>
      </c>
      <c r="C191" s="1">
        <v>59.567819818351744</v>
      </c>
      <c r="D191" s="1" t="b">
        <f>IF(AND(dss_report!$B191&gt;30, dss_report!$C191&lt;40), TRUE, FALSE)</f>
        <v>0</v>
      </c>
      <c r="E191" s="1"/>
      <c r="F191" s="2">
        <f>LET(
 _xlpm.t,dss_report!$B191, _xlpm.lo,18, _xlpm.hi,28,
 IF(AND(_xlpm.t&gt;=_xlpm.lo, _xlpm.t&lt;=_xlpm.hi), 1,
   IF(_xlpm.t&lt;_xlpm.lo, MAX(0, 1 - (_xlpm.lo - _xlpm.t)/(_xlpm.lo*0.5)),
             MAX(0, 1 - (_xlpm.t - _xlpm.hi)/(_xlpm.hi*0.5))
   )
 )
)</f>
        <v>0.9999024516</v>
      </c>
      <c r="G191" s="2">
        <f>LET(
 _xlpm.h,dss_report!$C191, _xlpm.lo,45, _xlpm.hi,70,
 IF(AND(_xlpm.h&gt;=_xlpm.lo, _xlpm.h&lt;=_xlpm.hi), 1,
   IF(_xlpm.h&lt;_xlpm.lo, MAX(0, 1 - (_xlpm.lo - _xlpm.h)/(_xlpm.lo*0.5)),
             MAX(0, 1 - (_xlpm.h - _xlpm.hi)/(_xlpm.hi*0.5))
   )
 )
)</f>
        <v>1</v>
      </c>
      <c r="H191" s="2">
        <f t="shared" si="1"/>
        <v>0.999941471</v>
      </c>
      <c r="I191" s="2" t="b">
        <f>IF(OR(dss_report!$D191=TRUE, H191&lt;0.3), TRUE, FALSE)</f>
        <v>0</v>
      </c>
      <c r="J191" s="2" t="b">
        <f>IF( OR( AND(dss_report!$B191&gt;31, dss_report!$C191&lt;38), H191&lt;0.25 ), TRUE, FALSE)</f>
        <v>0</v>
      </c>
      <c r="K191" s="2">
        <f t="shared" si="2"/>
        <v>0</v>
      </c>
      <c r="L191" s="2">
        <f t="shared" si="3"/>
        <v>0</v>
      </c>
      <c r="M191" s="2">
        <f t="shared" si="4"/>
        <v>0</v>
      </c>
      <c r="N191" s="2">
        <f t="shared" si="5"/>
        <v>1</v>
      </c>
      <c r="O191" s="2">
        <f t="shared" si="6"/>
        <v>0</v>
      </c>
      <c r="P191" s="2">
        <f t="shared" si="7"/>
        <v>0</v>
      </c>
    </row>
    <row r="192" ht="14.25" customHeight="1">
      <c r="A192" s="4">
        <v>45445.979166666664</v>
      </c>
      <c r="B192" s="1">
        <v>28.443819879183284</v>
      </c>
      <c r="C192" s="1">
        <v>55.89087875466885</v>
      </c>
      <c r="D192" s="1" t="b">
        <f>IF(AND(dss_report!$B192&gt;30, dss_report!$C192&lt;40), TRUE, FALSE)</f>
        <v>0</v>
      </c>
      <c r="E192" s="1"/>
      <c r="F192" s="2">
        <f>LET(
 _xlpm.t,dss_report!$B192, _xlpm.lo,18, _xlpm.hi,28,
 IF(AND(_xlpm.t&gt;=_xlpm.lo, _xlpm.t&lt;=_xlpm.hi), 1,
   IF(_xlpm.t&lt;_xlpm.lo, MAX(0, 1 - (_xlpm.lo - _xlpm.t)/(_xlpm.lo*0.5)),
             MAX(0, 1 - (_xlpm.t - _xlpm.hi)/(_xlpm.hi*0.5))
   )
 )
)</f>
        <v>0.9682985801</v>
      </c>
      <c r="G192" s="2">
        <f>LET(
 _xlpm.h,dss_report!$C192, _xlpm.lo,45, _xlpm.hi,70,
 IF(AND(_xlpm.h&gt;=_xlpm.lo, _xlpm.h&lt;=_xlpm.hi), 1,
   IF(_xlpm.h&lt;_xlpm.lo, MAX(0, 1 - (_xlpm.lo - _xlpm.h)/(_xlpm.lo*0.5)),
             MAX(0, 1 - (_xlpm.h - _xlpm.hi)/(_xlpm.hi*0.5))
   )
 )
)</f>
        <v>1</v>
      </c>
      <c r="H192" s="2">
        <f t="shared" si="1"/>
        <v>0.980979148</v>
      </c>
      <c r="I192" s="2" t="b">
        <f>IF(OR(dss_report!$D192=TRUE, H192&lt;0.3), TRUE, FALSE)</f>
        <v>0</v>
      </c>
      <c r="J192" s="2" t="b">
        <f>IF( OR( AND(dss_report!$B192&gt;31, dss_report!$C192&lt;38), H192&lt;0.25 ), TRUE, FALSE)</f>
        <v>0</v>
      </c>
      <c r="K192" s="2">
        <f t="shared" si="2"/>
        <v>0</v>
      </c>
      <c r="L192" s="2">
        <f t="shared" si="3"/>
        <v>0</v>
      </c>
      <c r="M192" s="2">
        <f t="shared" si="4"/>
        <v>0</v>
      </c>
      <c r="N192" s="2">
        <f t="shared" si="5"/>
        <v>1</v>
      </c>
      <c r="O192" s="2">
        <f t="shared" si="6"/>
        <v>0</v>
      </c>
      <c r="P192" s="2">
        <f t="shared" si="7"/>
        <v>0</v>
      </c>
    </row>
    <row r="193" ht="14.25" customHeight="1">
      <c r="A193" s="4">
        <v>45445.989583333336</v>
      </c>
      <c r="B193" s="1">
        <v>28.051810567219416</v>
      </c>
      <c r="C193" s="1">
        <v>59.529400288152296</v>
      </c>
      <c r="D193" s="1" t="b">
        <f>IF(AND(dss_report!$B193&gt;30, dss_report!$C193&lt;40), TRUE, FALSE)</f>
        <v>0</v>
      </c>
      <c r="E193" s="1"/>
      <c r="F193" s="2">
        <f>LET(
 _xlpm.t,dss_report!$B193, _xlpm.lo,18, _xlpm.hi,28,
 IF(AND(_xlpm.t&gt;=_xlpm.lo, _xlpm.t&lt;=_xlpm.hi), 1,
   IF(_xlpm.t&lt;_xlpm.lo, MAX(0, 1 - (_xlpm.lo - _xlpm.t)/(_xlpm.lo*0.5)),
             MAX(0, 1 - (_xlpm.t - _xlpm.hi)/(_xlpm.hi*0.5))
   )
 )
)</f>
        <v>0.9962992452</v>
      </c>
      <c r="G193" s="2">
        <f>LET(
 _xlpm.h,dss_report!$C193, _xlpm.lo,45, _xlpm.hi,70,
 IF(AND(_xlpm.h&gt;=_xlpm.lo, _xlpm.h&lt;=_xlpm.hi), 1,
   IF(_xlpm.h&lt;_xlpm.lo, MAX(0, 1 - (_xlpm.lo - _xlpm.h)/(_xlpm.lo*0.5)),
             MAX(0, 1 - (_xlpm.h - _xlpm.hi)/(_xlpm.hi*0.5))
   )
 )
)</f>
        <v>1</v>
      </c>
      <c r="H193" s="2">
        <f t="shared" si="1"/>
        <v>0.9977795471</v>
      </c>
      <c r="I193" s="2" t="b">
        <f>IF(OR(dss_report!$D193=TRUE, H193&lt;0.3), TRUE, FALSE)</f>
        <v>0</v>
      </c>
      <c r="J193" s="2" t="b">
        <f>IF( OR( AND(dss_report!$B193&gt;31, dss_report!$C193&lt;38), H193&lt;0.25 ), TRUE, FALSE)</f>
        <v>0</v>
      </c>
      <c r="K193" s="2">
        <f t="shared" si="2"/>
        <v>0</v>
      </c>
      <c r="L193" s="2">
        <f t="shared" si="3"/>
        <v>0</v>
      </c>
      <c r="M193" s="2">
        <f t="shared" si="4"/>
        <v>0</v>
      </c>
      <c r="N193" s="2">
        <f t="shared" si="5"/>
        <v>1</v>
      </c>
      <c r="O193" s="2">
        <f t="shared" si="6"/>
        <v>0</v>
      </c>
      <c r="P193" s="2">
        <f t="shared" si="7"/>
        <v>0</v>
      </c>
    </row>
    <row r="194" ht="14.25" customHeight="1">
      <c r="A194" s="4">
        <v>45446.0</v>
      </c>
      <c r="B194" s="1">
        <v>27.216235048294585</v>
      </c>
      <c r="C194" s="1">
        <v>57.56436384654258</v>
      </c>
      <c r="D194" s="1" t="b">
        <f>IF(AND(dss_report!$B194&gt;30, dss_report!$C194&lt;40), TRUE, FALSE)</f>
        <v>0</v>
      </c>
      <c r="E194" s="1"/>
      <c r="F194" s="2">
        <f>LET(
 _xlpm.t,dss_report!$B194, _xlpm.lo,18, _xlpm.hi,28,
 IF(AND(_xlpm.t&gt;=_xlpm.lo, _xlpm.t&lt;=_xlpm.hi), 1,
   IF(_xlpm.t&lt;_xlpm.lo, MAX(0, 1 - (_xlpm.lo - _xlpm.t)/(_xlpm.lo*0.5)),
             MAX(0, 1 - (_xlpm.t - _xlpm.hi)/(_xlpm.hi*0.5))
   )
 )
)</f>
        <v>1</v>
      </c>
      <c r="G194" s="2">
        <f>LET(
 _xlpm.h,dss_report!$C194, _xlpm.lo,45, _xlpm.hi,70,
 IF(AND(_xlpm.h&gt;=_xlpm.lo, _xlpm.h&lt;=_xlpm.hi), 1,
   IF(_xlpm.h&lt;_xlpm.lo, MAX(0, 1 - (_xlpm.lo - _xlpm.h)/(_xlpm.lo*0.5)),
             MAX(0, 1 - (_xlpm.h - _xlpm.hi)/(_xlpm.hi*0.5))
   )
 )
)</f>
        <v>1</v>
      </c>
      <c r="H194" s="2">
        <f t="shared" si="1"/>
        <v>1</v>
      </c>
      <c r="I194" s="2" t="b">
        <f>IF(OR(dss_report!$D194=TRUE, H194&lt;0.3), TRUE, FALSE)</f>
        <v>0</v>
      </c>
      <c r="J194" s="2" t="b">
        <f>IF( OR( AND(dss_report!$B194&gt;31, dss_report!$C194&lt;38), H194&lt;0.25 ), TRUE, FALSE)</f>
        <v>0</v>
      </c>
      <c r="K194" s="2">
        <f t="shared" si="2"/>
        <v>0</v>
      </c>
      <c r="L194" s="2">
        <f t="shared" si="3"/>
        <v>0</v>
      </c>
      <c r="M194" s="2">
        <f t="shared" si="4"/>
        <v>0</v>
      </c>
      <c r="N194" s="2">
        <f t="shared" si="5"/>
        <v>1</v>
      </c>
      <c r="O194" s="2">
        <f t="shared" si="6"/>
        <v>0</v>
      </c>
      <c r="P194" s="2">
        <f t="shared" si="7"/>
        <v>0</v>
      </c>
    </row>
    <row r="195" ht="14.25" customHeight="1">
      <c r="A195" s="4">
        <v>45446.010416666664</v>
      </c>
      <c r="B195" s="1">
        <v>28.224217094782524</v>
      </c>
      <c r="C195" s="1">
        <v>58.05854631377806</v>
      </c>
      <c r="D195" s="1" t="b">
        <f>IF(AND(dss_report!$B195&gt;30, dss_report!$C195&lt;40), TRUE, FALSE)</f>
        <v>0</v>
      </c>
      <c r="E195" s="1"/>
      <c r="F195" s="2">
        <f>LET(
 _xlpm.t,dss_report!$B195, _xlpm.lo,18, _xlpm.hi,28,
 IF(AND(_xlpm.t&gt;=_xlpm.lo, _xlpm.t&lt;=_xlpm.hi), 1,
   IF(_xlpm.t&lt;_xlpm.lo, MAX(0, 1 - (_xlpm.lo - _xlpm.t)/(_xlpm.lo*0.5)),
             MAX(0, 1 - (_xlpm.t - _xlpm.hi)/(_xlpm.hi*0.5))
   )
 )
)</f>
        <v>0.9839844932</v>
      </c>
      <c r="G195" s="2">
        <f>LET(
 _xlpm.h,dss_report!$C195, _xlpm.lo,45, _xlpm.hi,70,
 IF(AND(_xlpm.h&gt;=_xlpm.lo, _xlpm.h&lt;=_xlpm.hi), 1,
   IF(_xlpm.h&lt;_xlpm.lo, MAX(0, 1 - (_xlpm.lo - _xlpm.h)/(_xlpm.lo*0.5)),
             MAX(0, 1 - (_xlpm.h - _xlpm.hi)/(_xlpm.hi*0.5))
   )
 )
)</f>
        <v>1</v>
      </c>
      <c r="H195" s="2">
        <f t="shared" si="1"/>
        <v>0.9903906959</v>
      </c>
      <c r="I195" s="2" t="b">
        <f>IF(OR(dss_report!$D195=TRUE, H195&lt;0.3), TRUE, FALSE)</f>
        <v>0</v>
      </c>
      <c r="J195" s="2" t="b">
        <f>IF( OR( AND(dss_report!$B195&gt;31, dss_report!$C195&lt;38), H195&lt;0.25 ), TRUE, FALSE)</f>
        <v>0</v>
      </c>
      <c r="K195" s="2">
        <f t="shared" si="2"/>
        <v>0</v>
      </c>
      <c r="L195" s="2">
        <f t="shared" si="3"/>
        <v>0</v>
      </c>
      <c r="M195" s="2">
        <f t="shared" si="4"/>
        <v>0</v>
      </c>
      <c r="N195" s="2">
        <f t="shared" si="5"/>
        <v>1</v>
      </c>
      <c r="O195" s="2">
        <f t="shared" si="6"/>
        <v>0</v>
      </c>
      <c r="P195" s="2">
        <f t="shared" si="7"/>
        <v>0</v>
      </c>
    </row>
    <row r="196" ht="14.25" customHeight="1">
      <c r="A196" s="4">
        <v>45446.020833333336</v>
      </c>
      <c r="B196" s="1">
        <v>28.081541224146964</v>
      </c>
      <c r="C196" s="1">
        <v>57.43525101061375</v>
      </c>
      <c r="D196" s="1" t="b">
        <f>IF(AND(dss_report!$B196&gt;30, dss_report!$C196&lt;40), TRUE, FALSE)</f>
        <v>0</v>
      </c>
      <c r="E196" s="1"/>
      <c r="F196" s="2">
        <f>LET(
 _xlpm.t,dss_report!$B196, _xlpm.lo,18, _xlpm.hi,28,
 IF(AND(_xlpm.t&gt;=_xlpm.lo, _xlpm.t&lt;=_xlpm.hi), 1,
   IF(_xlpm.t&lt;_xlpm.lo, MAX(0, 1 - (_xlpm.lo - _xlpm.t)/(_xlpm.lo*0.5)),
             MAX(0, 1 - (_xlpm.t - _xlpm.hi)/(_xlpm.hi*0.5))
   )
 )
)</f>
        <v>0.9941756268</v>
      </c>
      <c r="G196" s="2">
        <f>LET(
 _xlpm.h,dss_report!$C196, _xlpm.lo,45, _xlpm.hi,70,
 IF(AND(_xlpm.h&gt;=_xlpm.lo, _xlpm.h&lt;=_xlpm.hi), 1,
   IF(_xlpm.h&lt;_xlpm.lo, MAX(0, 1 - (_xlpm.lo - _xlpm.h)/(_xlpm.lo*0.5)),
             MAX(0, 1 - (_xlpm.h - _xlpm.hi)/(_xlpm.hi*0.5))
   )
 )
)</f>
        <v>1</v>
      </c>
      <c r="H196" s="2">
        <f t="shared" si="1"/>
        <v>0.9965053761</v>
      </c>
      <c r="I196" s="2" t="b">
        <f>IF(OR(dss_report!$D196=TRUE, H196&lt;0.3), TRUE, FALSE)</f>
        <v>0</v>
      </c>
      <c r="J196" s="2" t="b">
        <f>IF( OR( AND(dss_report!$B196&gt;31, dss_report!$C196&lt;38), H196&lt;0.25 ), TRUE, FALSE)</f>
        <v>0</v>
      </c>
      <c r="K196" s="2">
        <f t="shared" si="2"/>
        <v>0</v>
      </c>
      <c r="L196" s="2">
        <f t="shared" si="3"/>
        <v>0</v>
      </c>
      <c r="M196" s="2">
        <f t="shared" si="4"/>
        <v>0</v>
      </c>
      <c r="N196" s="2">
        <f t="shared" si="5"/>
        <v>1</v>
      </c>
      <c r="O196" s="2">
        <f t="shared" si="6"/>
        <v>0</v>
      </c>
      <c r="P196" s="2">
        <f t="shared" si="7"/>
        <v>0</v>
      </c>
    </row>
    <row r="197" ht="14.25" customHeight="1">
      <c r="A197" s="4">
        <v>45446.03125</v>
      </c>
      <c r="B197" s="1">
        <v>29.251237744627343</v>
      </c>
      <c r="C197" s="1">
        <v>59.45086864610394</v>
      </c>
      <c r="D197" s="1" t="b">
        <f>IF(AND(dss_report!$B197&gt;30, dss_report!$C197&lt;40), TRUE, FALSE)</f>
        <v>0</v>
      </c>
      <c r="E197" s="1"/>
      <c r="F197" s="2">
        <f>LET(
 _xlpm.t,dss_report!$B197, _xlpm.lo,18, _xlpm.hi,28,
 IF(AND(_xlpm.t&gt;=_xlpm.lo, _xlpm.t&lt;=_xlpm.hi), 1,
   IF(_xlpm.t&lt;_xlpm.lo, MAX(0, 1 - (_xlpm.lo - _xlpm.t)/(_xlpm.lo*0.5)),
             MAX(0, 1 - (_xlpm.t - _xlpm.hi)/(_xlpm.hi*0.5))
   )
 )
)</f>
        <v>0.9106258754</v>
      </c>
      <c r="G197" s="2">
        <f>LET(
 _xlpm.h,dss_report!$C197, _xlpm.lo,45, _xlpm.hi,70,
 IF(AND(_xlpm.h&gt;=_xlpm.lo, _xlpm.h&lt;=_xlpm.hi), 1,
   IF(_xlpm.h&lt;_xlpm.lo, MAX(0, 1 - (_xlpm.lo - _xlpm.h)/(_xlpm.lo*0.5)),
             MAX(0, 1 - (_xlpm.h - _xlpm.hi)/(_xlpm.hi*0.5))
   )
 )
)</f>
        <v>1</v>
      </c>
      <c r="H197" s="2">
        <f t="shared" si="1"/>
        <v>0.9463755252</v>
      </c>
      <c r="I197" s="2" t="b">
        <f>IF(OR(dss_report!$D197=TRUE, H197&lt;0.3), TRUE, FALSE)</f>
        <v>0</v>
      </c>
      <c r="J197" s="2" t="b">
        <f>IF( OR( AND(dss_report!$B197&gt;31, dss_report!$C197&lt;38), H197&lt;0.25 ), TRUE, FALSE)</f>
        <v>0</v>
      </c>
      <c r="K197" s="2">
        <f t="shared" si="2"/>
        <v>0</v>
      </c>
      <c r="L197" s="2">
        <f t="shared" si="3"/>
        <v>0</v>
      </c>
      <c r="M197" s="2">
        <f t="shared" si="4"/>
        <v>0</v>
      </c>
      <c r="N197" s="2">
        <f t="shared" si="5"/>
        <v>1</v>
      </c>
      <c r="O197" s="2">
        <f t="shared" si="6"/>
        <v>0</v>
      </c>
      <c r="P197" s="2">
        <f t="shared" si="7"/>
        <v>0</v>
      </c>
    </row>
    <row r="198" ht="14.25" customHeight="1">
      <c r="A198" s="4">
        <v>45446.041666666664</v>
      </c>
      <c r="B198" s="1">
        <v>27.95158847984101</v>
      </c>
      <c r="C198" s="1">
        <v>55.50704460217941</v>
      </c>
      <c r="D198" s="1" t="b">
        <f>IF(AND(dss_report!$B198&gt;30, dss_report!$C198&lt;40), TRUE, FALSE)</f>
        <v>0</v>
      </c>
      <c r="E198" s="1"/>
      <c r="F198" s="2">
        <f>LET(
 _xlpm.t,dss_report!$B198, _xlpm.lo,18, _xlpm.hi,28,
 IF(AND(_xlpm.t&gt;=_xlpm.lo, _xlpm.t&lt;=_xlpm.hi), 1,
   IF(_xlpm.t&lt;_xlpm.lo, MAX(0, 1 - (_xlpm.lo - _xlpm.t)/(_xlpm.lo*0.5)),
             MAX(0, 1 - (_xlpm.t - _xlpm.hi)/(_xlpm.hi*0.5))
   )
 )
)</f>
        <v>1</v>
      </c>
      <c r="G198" s="2">
        <f>LET(
 _xlpm.h,dss_report!$C198, _xlpm.lo,45, _xlpm.hi,70,
 IF(AND(_xlpm.h&gt;=_xlpm.lo, _xlpm.h&lt;=_xlpm.hi), 1,
   IF(_xlpm.h&lt;_xlpm.lo, MAX(0, 1 - (_xlpm.lo - _xlpm.h)/(_xlpm.lo*0.5)),
             MAX(0, 1 - (_xlpm.h - _xlpm.hi)/(_xlpm.hi*0.5))
   )
 )
)</f>
        <v>1</v>
      </c>
      <c r="H198" s="2">
        <f t="shared" si="1"/>
        <v>1</v>
      </c>
      <c r="I198" s="2" t="b">
        <f>IF(OR(dss_report!$D198=TRUE, H198&lt;0.3), TRUE, FALSE)</f>
        <v>0</v>
      </c>
      <c r="J198" s="2" t="b">
        <f>IF( OR( AND(dss_report!$B198&gt;31, dss_report!$C198&lt;38), H198&lt;0.25 ), TRUE, FALSE)</f>
        <v>0</v>
      </c>
      <c r="K198" s="2">
        <f t="shared" si="2"/>
        <v>0</v>
      </c>
      <c r="L198" s="2">
        <f t="shared" si="3"/>
        <v>0</v>
      </c>
      <c r="M198" s="2">
        <f t="shared" si="4"/>
        <v>0</v>
      </c>
      <c r="N198" s="2">
        <f t="shared" si="5"/>
        <v>1</v>
      </c>
      <c r="O198" s="2">
        <f t="shared" si="6"/>
        <v>0</v>
      </c>
      <c r="P198" s="2">
        <f t="shared" si="7"/>
        <v>0</v>
      </c>
    </row>
    <row r="199" ht="14.25" customHeight="1">
      <c r="A199" s="4">
        <v>45446.052083333336</v>
      </c>
      <c r="B199" s="1">
        <v>27.044761286971834</v>
      </c>
      <c r="C199" s="1">
        <v>58.475383497138246</v>
      </c>
      <c r="D199" s="1" t="b">
        <f>IF(AND(dss_report!$B199&gt;30, dss_report!$C199&lt;40), TRUE, FALSE)</f>
        <v>0</v>
      </c>
      <c r="E199" s="1"/>
      <c r="F199" s="2">
        <f>LET(
 _xlpm.t,dss_report!$B199, _xlpm.lo,18, _xlpm.hi,28,
 IF(AND(_xlpm.t&gt;=_xlpm.lo, _xlpm.t&lt;=_xlpm.hi), 1,
   IF(_xlpm.t&lt;_xlpm.lo, MAX(0, 1 - (_xlpm.lo - _xlpm.t)/(_xlpm.lo*0.5)),
             MAX(0, 1 - (_xlpm.t - _xlpm.hi)/(_xlpm.hi*0.5))
   )
 )
)</f>
        <v>1</v>
      </c>
      <c r="G199" s="2">
        <f>LET(
 _xlpm.h,dss_report!$C199, _xlpm.lo,45, _xlpm.hi,70,
 IF(AND(_xlpm.h&gt;=_xlpm.lo, _xlpm.h&lt;=_xlpm.hi), 1,
   IF(_xlpm.h&lt;_xlpm.lo, MAX(0, 1 - (_xlpm.lo - _xlpm.h)/(_xlpm.lo*0.5)),
             MAX(0, 1 - (_xlpm.h - _xlpm.hi)/(_xlpm.hi*0.5))
   )
 )
)</f>
        <v>1</v>
      </c>
      <c r="H199" s="2">
        <f t="shared" si="1"/>
        <v>1</v>
      </c>
      <c r="I199" s="2" t="b">
        <f>IF(OR(dss_report!$D199=TRUE, H199&lt;0.3), TRUE, FALSE)</f>
        <v>0</v>
      </c>
      <c r="J199" s="2" t="b">
        <f>IF( OR( AND(dss_report!$B199&gt;31, dss_report!$C199&lt;38), H199&lt;0.25 ), TRUE, FALSE)</f>
        <v>0</v>
      </c>
      <c r="K199" s="2">
        <f t="shared" si="2"/>
        <v>0</v>
      </c>
      <c r="L199" s="2">
        <f t="shared" si="3"/>
        <v>0</v>
      </c>
      <c r="M199" s="2">
        <f t="shared" si="4"/>
        <v>0</v>
      </c>
      <c r="N199" s="2">
        <f t="shared" si="5"/>
        <v>1</v>
      </c>
      <c r="O199" s="2">
        <f t="shared" si="6"/>
        <v>0</v>
      </c>
      <c r="P199" s="2">
        <f t="shared" si="7"/>
        <v>0</v>
      </c>
    </row>
    <row r="200" ht="14.25" customHeight="1">
      <c r="A200" s="4">
        <v>45446.0625</v>
      </c>
      <c r="B200" s="1">
        <v>27.261513692478363</v>
      </c>
      <c r="C200" s="1">
        <v>60.32263401288408</v>
      </c>
      <c r="D200" s="1" t="b">
        <f>IF(AND(dss_report!$B200&gt;30, dss_report!$C200&lt;40), TRUE, FALSE)</f>
        <v>0</v>
      </c>
      <c r="E200" s="1"/>
      <c r="F200" s="2">
        <f>LET(
 _xlpm.t,dss_report!$B200, _xlpm.lo,18, _xlpm.hi,28,
 IF(AND(_xlpm.t&gt;=_xlpm.lo, _xlpm.t&lt;=_xlpm.hi), 1,
   IF(_xlpm.t&lt;_xlpm.lo, MAX(0, 1 - (_xlpm.lo - _xlpm.t)/(_xlpm.lo*0.5)),
             MAX(0, 1 - (_xlpm.t - _xlpm.hi)/(_xlpm.hi*0.5))
   )
 )
)</f>
        <v>1</v>
      </c>
      <c r="G200" s="2">
        <f>LET(
 _xlpm.h,dss_report!$C200, _xlpm.lo,45, _xlpm.hi,70,
 IF(AND(_xlpm.h&gt;=_xlpm.lo, _xlpm.h&lt;=_xlpm.hi), 1,
   IF(_xlpm.h&lt;_xlpm.lo, MAX(0, 1 - (_xlpm.lo - _xlpm.h)/(_xlpm.lo*0.5)),
             MAX(0, 1 - (_xlpm.h - _xlpm.hi)/(_xlpm.hi*0.5))
   )
 )
)</f>
        <v>1</v>
      </c>
      <c r="H200" s="2">
        <f t="shared" si="1"/>
        <v>1</v>
      </c>
      <c r="I200" s="2" t="b">
        <f>IF(OR(dss_report!$D200=TRUE, H200&lt;0.3), TRUE, FALSE)</f>
        <v>0</v>
      </c>
      <c r="J200" s="2" t="b">
        <f>IF( OR( AND(dss_report!$B200&gt;31, dss_report!$C200&lt;38), H200&lt;0.25 ), TRUE, FALSE)</f>
        <v>0</v>
      </c>
      <c r="K200" s="2">
        <f t="shared" si="2"/>
        <v>0</v>
      </c>
      <c r="L200" s="2">
        <f t="shared" si="3"/>
        <v>0</v>
      </c>
      <c r="M200" s="2">
        <f t="shared" si="4"/>
        <v>0</v>
      </c>
      <c r="N200" s="2">
        <f t="shared" si="5"/>
        <v>1</v>
      </c>
      <c r="O200" s="2">
        <f t="shared" si="6"/>
        <v>0</v>
      </c>
      <c r="P200" s="2">
        <f t="shared" si="7"/>
        <v>0</v>
      </c>
    </row>
    <row r="201" ht="14.25" customHeight="1">
      <c r="A201" s="4">
        <v>45446.072916666664</v>
      </c>
      <c r="B201" s="1">
        <v>29.014332233624756</v>
      </c>
      <c r="C201" s="1">
        <v>57.41166827705995</v>
      </c>
      <c r="D201" s="1" t="b">
        <f>IF(AND(dss_report!$B201&gt;30, dss_report!$C201&lt;40), TRUE, FALSE)</f>
        <v>0</v>
      </c>
      <c r="E201" s="1"/>
      <c r="F201" s="2">
        <f>LET(
 _xlpm.t,dss_report!$B201, _xlpm.lo,18, _xlpm.hi,28,
 IF(AND(_xlpm.t&gt;=_xlpm.lo, _xlpm.t&lt;=_xlpm.hi), 1,
   IF(_xlpm.t&lt;_xlpm.lo, MAX(0, 1 - (_xlpm.lo - _xlpm.t)/(_xlpm.lo*0.5)),
             MAX(0, 1 - (_xlpm.t - _xlpm.hi)/(_xlpm.hi*0.5))
   )
 )
)</f>
        <v>0.9275476976</v>
      </c>
      <c r="G201" s="2">
        <f>LET(
 _xlpm.h,dss_report!$C201, _xlpm.lo,45, _xlpm.hi,70,
 IF(AND(_xlpm.h&gt;=_xlpm.lo, _xlpm.h&lt;=_xlpm.hi), 1,
   IF(_xlpm.h&lt;_xlpm.lo, MAX(0, 1 - (_xlpm.lo - _xlpm.h)/(_xlpm.lo*0.5)),
             MAX(0, 1 - (_xlpm.h - _xlpm.hi)/(_xlpm.hi*0.5))
   )
 )
)</f>
        <v>1</v>
      </c>
      <c r="H201" s="2">
        <f t="shared" si="1"/>
        <v>0.9565286186</v>
      </c>
      <c r="I201" s="2" t="b">
        <f>IF(OR(dss_report!$D201=TRUE, H201&lt;0.3), TRUE, FALSE)</f>
        <v>0</v>
      </c>
      <c r="J201" s="2" t="b">
        <f>IF( OR( AND(dss_report!$B201&gt;31, dss_report!$C201&lt;38), H201&lt;0.25 ), TRUE, FALSE)</f>
        <v>0</v>
      </c>
      <c r="K201" s="2">
        <f t="shared" si="2"/>
        <v>0</v>
      </c>
      <c r="L201" s="2">
        <f t="shared" si="3"/>
        <v>0</v>
      </c>
      <c r="M201" s="2">
        <f t="shared" si="4"/>
        <v>0</v>
      </c>
      <c r="N201" s="2">
        <f t="shared" si="5"/>
        <v>1</v>
      </c>
      <c r="O201" s="2">
        <f t="shared" si="6"/>
        <v>0</v>
      </c>
      <c r="P201" s="2">
        <f t="shared" si="7"/>
        <v>0</v>
      </c>
    </row>
    <row r="202" ht="14.25" customHeight="1">
      <c r="A202" s="4">
        <v>45446.083333333336</v>
      </c>
      <c r="B202" s="1">
        <v>34.15556572907934</v>
      </c>
      <c r="C202" s="1">
        <v>32.0965986044498</v>
      </c>
      <c r="D202" s="1" t="b">
        <f>IF(AND(dss_report!$B202&gt;30, dss_report!$C202&lt;40), TRUE, FALSE)</f>
        <v>1</v>
      </c>
      <c r="E202" s="1"/>
      <c r="F202" s="2">
        <f>LET(
 _xlpm.t,dss_report!$B202, _xlpm.lo,18, _xlpm.hi,28,
 IF(AND(_xlpm.t&gt;=_xlpm.lo, _xlpm.t&lt;=_xlpm.hi), 1,
   IF(_xlpm.t&lt;_xlpm.lo, MAX(0, 1 - (_xlpm.lo - _xlpm.t)/(_xlpm.lo*0.5)),
             MAX(0, 1 - (_xlpm.t - _xlpm.hi)/(_xlpm.hi*0.5))
   )
 )
)</f>
        <v>0.5603167336</v>
      </c>
      <c r="G202" s="2">
        <f>LET(
 _xlpm.h,dss_report!$C202, _xlpm.lo,45, _xlpm.hi,70,
 IF(AND(_xlpm.h&gt;=_xlpm.lo, _xlpm.h&lt;=_xlpm.hi), 1,
   IF(_xlpm.h&lt;_xlpm.lo, MAX(0, 1 - (_xlpm.lo - _xlpm.h)/(_xlpm.lo*0.5)),
             MAX(0, 1 - (_xlpm.h - _xlpm.hi)/(_xlpm.hi*0.5))
   )
 )
)</f>
        <v>0.4265154935</v>
      </c>
      <c r="H202" s="2">
        <f t="shared" si="1"/>
        <v>0.5067962376</v>
      </c>
      <c r="I202" s="2" t="b">
        <f>IF(OR(dss_report!$D202=TRUE, H202&lt;0.3), TRUE, FALSE)</f>
        <v>1</v>
      </c>
      <c r="J202" s="2" t="b">
        <f>IF( OR( AND(dss_report!$B202&gt;31, dss_report!$C202&lt;38), H202&lt;0.25 ), TRUE, FALSE)</f>
        <v>1</v>
      </c>
      <c r="K202" s="2">
        <f t="shared" si="2"/>
        <v>1</v>
      </c>
      <c r="L202" s="2">
        <f t="shared" si="3"/>
        <v>0</v>
      </c>
      <c r="M202" s="2">
        <f t="shared" si="4"/>
        <v>0</v>
      </c>
      <c r="N202" s="2">
        <f t="shared" si="5"/>
        <v>0</v>
      </c>
      <c r="O202" s="2">
        <f t="shared" si="6"/>
        <v>1</v>
      </c>
      <c r="P202" s="2">
        <f t="shared" si="7"/>
        <v>1</v>
      </c>
    </row>
    <row r="203" ht="14.25" customHeight="1">
      <c r="A203" s="4">
        <v>45446.09375</v>
      </c>
      <c r="B203" s="1">
        <v>34.24201002852503</v>
      </c>
      <c r="C203" s="1">
        <v>31.814980291494845</v>
      </c>
      <c r="D203" s="1" t="b">
        <f>IF(AND(dss_report!$B203&gt;30, dss_report!$C203&lt;40), TRUE, FALSE)</f>
        <v>1</v>
      </c>
      <c r="E203" s="1"/>
      <c r="F203" s="2">
        <f>LET(
 _xlpm.t,dss_report!$B203, _xlpm.lo,18, _xlpm.hi,28,
 IF(AND(_xlpm.t&gt;=_xlpm.lo, _xlpm.t&lt;=_xlpm.hi), 1,
   IF(_xlpm.t&lt;_xlpm.lo, MAX(0, 1 - (_xlpm.lo - _xlpm.t)/(_xlpm.lo*0.5)),
             MAX(0, 1 - (_xlpm.t - _xlpm.hi)/(_xlpm.hi*0.5))
   )
 )
)</f>
        <v>0.5541421408</v>
      </c>
      <c r="G203" s="2">
        <f>LET(
 _xlpm.h,dss_report!$C203, _xlpm.lo,45, _xlpm.hi,70,
 IF(AND(_xlpm.h&gt;=_xlpm.lo, _xlpm.h&lt;=_xlpm.hi), 1,
   IF(_xlpm.h&lt;_xlpm.lo, MAX(0, 1 - (_xlpm.lo - _xlpm.h)/(_xlpm.lo*0.5)),
             MAX(0, 1 - (_xlpm.h - _xlpm.hi)/(_xlpm.hi*0.5))
   )
 )
)</f>
        <v>0.4139991241</v>
      </c>
      <c r="H203" s="2">
        <f t="shared" si="1"/>
        <v>0.4980849341</v>
      </c>
      <c r="I203" s="2" t="b">
        <f>IF(OR(dss_report!$D203=TRUE, H203&lt;0.3), TRUE, FALSE)</f>
        <v>1</v>
      </c>
      <c r="J203" s="2" t="b">
        <f>IF( OR( AND(dss_report!$B203&gt;31, dss_report!$C203&lt;38), H203&lt;0.25 ), TRUE, FALSE)</f>
        <v>1</v>
      </c>
      <c r="K203" s="2">
        <f t="shared" si="2"/>
        <v>1</v>
      </c>
      <c r="L203" s="2">
        <f t="shared" si="3"/>
        <v>0</v>
      </c>
      <c r="M203" s="2">
        <f t="shared" si="4"/>
        <v>0</v>
      </c>
      <c r="N203" s="2">
        <f t="shared" si="5"/>
        <v>0</v>
      </c>
      <c r="O203" s="2">
        <f t="shared" si="6"/>
        <v>1</v>
      </c>
      <c r="P203" s="2">
        <f t="shared" si="7"/>
        <v>1</v>
      </c>
    </row>
    <row r="204" ht="14.25" customHeight="1">
      <c r="A204" s="4">
        <v>45446.104166666664</v>
      </c>
      <c r="B204" s="1">
        <v>34.39517948651472</v>
      </c>
      <c r="C204" s="1">
        <v>29.394967236680035</v>
      </c>
      <c r="D204" s="1" t="b">
        <f>IF(AND(dss_report!$B204&gt;30, dss_report!$C204&lt;40), TRUE, FALSE)</f>
        <v>1</v>
      </c>
      <c r="E204" s="1"/>
      <c r="F204" s="2">
        <f>LET(
 _xlpm.t,dss_report!$B204, _xlpm.lo,18, _xlpm.hi,28,
 IF(AND(_xlpm.t&gt;=_xlpm.lo, _xlpm.t&lt;=_xlpm.hi), 1,
   IF(_xlpm.t&lt;_xlpm.lo, MAX(0, 1 - (_xlpm.lo - _xlpm.t)/(_xlpm.lo*0.5)),
             MAX(0, 1 - (_xlpm.t - _xlpm.hi)/(_xlpm.hi*0.5))
   )
 )
)</f>
        <v>0.5432014652</v>
      </c>
      <c r="G204" s="2">
        <f>LET(
 _xlpm.h,dss_report!$C204, _xlpm.lo,45, _xlpm.hi,70,
 IF(AND(_xlpm.h&gt;=_xlpm.lo, _xlpm.h&lt;=_xlpm.hi), 1,
   IF(_xlpm.h&lt;_xlpm.lo, MAX(0, 1 - (_xlpm.lo - _xlpm.h)/(_xlpm.lo*0.5)),
             MAX(0, 1 - (_xlpm.h - _xlpm.hi)/(_xlpm.hi*0.5))
   )
 )
)</f>
        <v>0.3064429883</v>
      </c>
      <c r="H204" s="2">
        <f t="shared" si="1"/>
        <v>0.4484980745</v>
      </c>
      <c r="I204" s="2" t="b">
        <f>IF(OR(dss_report!$D204=TRUE, H204&lt;0.3), TRUE, FALSE)</f>
        <v>1</v>
      </c>
      <c r="J204" s="2" t="b">
        <f>IF( OR( AND(dss_report!$B204&gt;31, dss_report!$C204&lt;38), H204&lt;0.25 ), TRUE, FALSE)</f>
        <v>1</v>
      </c>
      <c r="K204" s="2">
        <f t="shared" si="2"/>
        <v>1</v>
      </c>
      <c r="L204" s="2">
        <f t="shared" si="3"/>
        <v>0</v>
      </c>
      <c r="M204" s="2">
        <f t="shared" si="4"/>
        <v>0</v>
      </c>
      <c r="N204" s="2">
        <f t="shared" si="5"/>
        <v>0</v>
      </c>
      <c r="O204" s="2">
        <f t="shared" si="6"/>
        <v>1</v>
      </c>
      <c r="P204" s="2">
        <f t="shared" si="7"/>
        <v>1</v>
      </c>
    </row>
    <row r="205" ht="14.25" customHeight="1">
      <c r="A205" s="4">
        <v>45446.114583333336</v>
      </c>
      <c r="B205" s="1">
        <v>35.12495337948643</v>
      </c>
      <c r="C205" s="1">
        <v>29.30433418716837</v>
      </c>
      <c r="D205" s="1" t="b">
        <f>IF(AND(dss_report!$B205&gt;30, dss_report!$C205&lt;40), TRUE, FALSE)</f>
        <v>1</v>
      </c>
      <c r="E205" s="1"/>
      <c r="F205" s="2">
        <f>LET(
 _xlpm.t,dss_report!$B205, _xlpm.lo,18, _xlpm.hi,28,
 IF(AND(_xlpm.t&gt;=_xlpm.lo, _xlpm.t&lt;=_xlpm.hi), 1,
   IF(_xlpm.t&lt;_xlpm.lo, MAX(0, 1 - (_xlpm.lo - _xlpm.t)/(_xlpm.lo*0.5)),
             MAX(0, 1 - (_xlpm.t - _xlpm.hi)/(_xlpm.hi*0.5))
   )
 )
)</f>
        <v>0.4910747586</v>
      </c>
      <c r="G205" s="2">
        <f>LET(
 _xlpm.h,dss_report!$C205, _xlpm.lo,45, _xlpm.hi,70,
 IF(AND(_xlpm.h&gt;=_xlpm.lo, _xlpm.h&lt;=_xlpm.hi), 1,
   IF(_xlpm.h&lt;_xlpm.lo, MAX(0, 1 - (_xlpm.lo - _xlpm.h)/(_xlpm.lo*0.5)),
             MAX(0, 1 - (_xlpm.h - _xlpm.hi)/(_xlpm.hi*0.5))
   )
 )
)</f>
        <v>0.3024148528</v>
      </c>
      <c r="H205" s="2">
        <f t="shared" si="1"/>
        <v>0.4156107963</v>
      </c>
      <c r="I205" s="2" t="b">
        <f>IF(OR(dss_report!$D205=TRUE, H205&lt;0.3), TRUE, FALSE)</f>
        <v>1</v>
      </c>
      <c r="J205" s="2" t="b">
        <f>IF( OR( AND(dss_report!$B205&gt;31, dss_report!$C205&lt;38), H205&lt;0.25 ), TRUE, FALSE)</f>
        <v>1</v>
      </c>
      <c r="K205" s="2">
        <f t="shared" si="2"/>
        <v>1</v>
      </c>
      <c r="L205" s="2">
        <f t="shared" si="3"/>
        <v>0</v>
      </c>
      <c r="M205" s="2">
        <f t="shared" si="4"/>
        <v>0</v>
      </c>
      <c r="N205" s="2">
        <f t="shared" si="5"/>
        <v>0</v>
      </c>
      <c r="O205" s="2">
        <f t="shared" si="6"/>
        <v>1</v>
      </c>
      <c r="P205" s="2">
        <f t="shared" si="7"/>
        <v>1</v>
      </c>
    </row>
    <row r="206" ht="14.25" customHeight="1">
      <c r="A206" s="4">
        <v>45446.125</v>
      </c>
      <c r="B206" s="1">
        <v>35.45599567004926</v>
      </c>
      <c r="C206" s="1">
        <v>25.097187558352474</v>
      </c>
      <c r="D206" s="1" t="b">
        <f>IF(AND(dss_report!$B206&gt;30, dss_report!$C206&lt;40), TRUE, FALSE)</f>
        <v>1</v>
      </c>
      <c r="E206" s="1"/>
      <c r="F206" s="2">
        <f>LET(
 _xlpm.t,dss_report!$B206, _xlpm.lo,18, _xlpm.hi,28,
 IF(AND(_xlpm.t&gt;=_xlpm.lo, _xlpm.t&lt;=_xlpm.hi), 1,
   IF(_xlpm.t&lt;_xlpm.lo, MAX(0, 1 - (_xlpm.lo - _xlpm.t)/(_xlpm.lo*0.5)),
             MAX(0, 1 - (_xlpm.t - _xlpm.hi)/(_xlpm.hi*0.5))
   )
 )
)</f>
        <v>0.4674288807</v>
      </c>
      <c r="G206" s="2">
        <f>LET(
 _xlpm.h,dss_report!$C206, _xlpm.lo,45, _xlpm.hi,70,
 IF(AND(_xlpm.h&gt;=_xlpm.lo, _xlpm.h&lt;=_xlpm.hi), 1,
   IF(_xlpm.h&lt;_xlpm.lo, MAX(0, 1 - (_xlpm.lo - _xlpm.h)/(_xlpm.lo*0.5)),
             MAX(0, 1 - (_xlpm.h - _xlpm.hi)/(_xlpm.hi*0.5))
   )
 )
)</f>
        <v>0.1154305581</v>
      </c>
      <c r="H206" s="2">
        <f t="shared" si="1"/>
        <v>0.3266295517</v>
      </c>
      <c r="I206" s="2" t="b">
        <f>IF(OR(dss_report!$D206=TRUE, H206&lt;0.3), TRUE, FALSE)</f>
        <v>1</v>
      </c>
      <c r="J206" s="2" t="b">
        <f>IF( OR( AND(dss_report!$B206&gt;31, dss_report!$C206&lt;38), H206&lt;0.25 ), TRUE, FALSE)</f>
        <v>1</v>
      </c>
      <c r="K206" s="2">
        <f t="shared" si="2"/>
        <v>1</v>
      </c>
      <c r="L206" s="2">
        <f t="shared" si="3"/>
        <v>0</v>
      </c>
      <c r="M206" s="2">
        <f t="shared" si="4"/>
        <v>0</v>
      </c>
      <c r="N206" s="2">
        <f t="shared" si="5"/>
        <v>0</v>
      </c>
      <c r="O206" s="2">
        <f t="shared" si="6"/>
        <v>1</v>
      </c>
      <c r="P206" s="2">
        <f t="shared" si="7"/>
        <v>1</v>
      </c>
    </row>
    <row r="207" ht="14.25" customHeight="1">
      <c r="A207" s="4">
        <v>45446.135416666664</v>
      </c>
      <c r="B207" s="1">
        <v>35.45783717408715</v>
      </c>
      <c r="C207" s="1">
        <v>32.93412188770751</v>
      </c>
      <c r="D207" s="1" t="b">
        <f>IF(AND(dss_report!$B207&gt;30, dss_report!$C207&lt;40), TRUE, FALSE)</f>
        <v>1</v>
      </c>
      <c r="E207" s="1"/>
      <c r="F207" s="2">
        <f>LET(
 _xlpm.t,dss_report!$B207, _xlpm.lo,18, _xlpm.hi,28,
 IF(AND(_xlpm.t&gt;=_xlpm.lo, _xlpm.t&lt;=_xlpm.hi), 1,
   IF(_xlpm.t&lt;_xlpm.lo, MAX(0, 1 - (_xlpm.lo - _xlpm.t)/(_xlpm.lo*0.5)),
             MAX(0, 1 - (_xlpm.t - _xlpm.hi)/(_xlpm.hi*0.5))
   )
 )
)</f>
        <v>0.4672973447</v>
      </c>
      <c r="G207" s="2">
        <f>LET(
 _xlpm.h,dss_report!$C207, _xlpm.lo,45, _xlpm.hi,70,
 IF(AND(_xlpm.h&gt;=_xlpm.lo, _xlpm.h&lt;=_xlpm.hi), 1,
   IF(_xlpm.h&lt;_xlpm.lo, MAX(0, 1 - (_xlpm.lo - _xlpm.h)/(_xlpm.lo*0.5)),
             MAX(0, 1 - (_xlpm.h - _xlpm.hi)/(_xlpm.hi*0.5))
   )
 )
)</f>
        <v>0.4637387506</v>
      </c>
      <c r="H207" s="2">
        <f t="shared" si="1"/>
        <v>0.4658739071</v>
      </c>
      <c r="I207" s="2" t="b">
        <f>IF(OR(dss_report!$D207=TRUE, H207&lt;0.3), TRUE, FALSE)</f>
        <v>1</v>
      </c>
      <c r="J207" s="2" t="b">
        <f>IF( OR( AND(dss_report!$B207&gt;31, dss_report!$C207&lt;38), H207&lt;0.25 ), TRUE, FALSE)</f>
        <v>1</v>
      </c>
      <c r="K207" s="2">
        <f t="shared" si="2"/>
        <v>1</v>
      </c>
      <c r="L207" s="2">
        <f t="shared" si="3"/>
        <v>0</v>
      </c>
      <c r="M207" s="2">
        <f t="shared" si="4"/>
        <v>0</v>
      </c>
      <c r="N207" s="2">
        <f t="shared" si="5"/>
        <v>0</v>
      </c>
      <c r="O207" s="2">
        <f t="shared" si="6"/>
        <v>1</v>
      </c>
      <c r="P207" s="2">
        <f t="shared" si="7"/>
        <v>1</v>
      </c>
    </row>
    <row r="208" ht="14.25" customHeight="1">
      <c r="A208" s="4">
        <v>45446.145833333336</v>
      </c>
      <c r="B208" s="1">
        <v>35.95674868242515</v>
      </c>
      <c r="C208" s="1">
        <v>29.684741990873512</v>
      </c>
      <c r="D208" s="1" t="b">
        <f>IF(AND(dss_report!$B208&gt;30, dss_report!$C208&lt;40), TRUE, FALSE)</f>
        <v>1</v>
      </c>
      <c r="E208" s="1"/>
      <c r="F208" s="2">
        <f>LET(
 _xlpm.t,dss_report!$B208, _xlpm.lo,18, _xlpm.hi,28,
 IF(AND(_xlpm.t&gt;=_xlpm.lo, _xlpm.t&lt;=_xlpm.hi), 1,
   IF(_xlpm.t&lt;_xlpm.lo, MAX(0, 1 - (_xlpm.lo - _xlpm.t)/(_xlpm.lo*0.5)),
             MAX(0, 1 - (_xlpm.t - _xlpm.hi)/(_xlpm.hi*0.5))
   )
 )
)</f>
        <v>0.4316608084</v>
      </c>
      <c r="G208" s="2">
        <f>LET(
 _xlpm.h,dss_report!$C208, _xlpm.lo,45, _xlpm.hi,70,
 IF(AND(_xlpm.h&gt;=_xlpm.lo, _xlpm.h&lt;=_xlpm.hi), 1,
   IF(_xlpm.h&lt;_xlpm.lo, MAX(0, 1 - (_xlpm.lo - _xlpm.h)/(_xlpm.lo*0.5)),
             MAX(0, 1 - (_xlpm.h - _xlpm.hi)/(_xlpm.hi*0.5))
   )
 )
)</f>
        <v>0.3193218663</v>
      </c>
      <c r="H208" s="2">
        <f t="shared" si="1"/>
        <v>0.3867252315</v>
      </c>
      <c r="I208" s="2" t="b">
        <f>IF(OR(dss_report!$D208=TRUE, H208&lt;0.3), TRUE, FALSE)</f>
        <v>1</v>
      </c>
      <c r="J208" s="2" t="b">
        <f>IF( OR( AND(dss_report!$B208&gt;31, dss_report!$C208&lt;38), H208&lt;0.25 ), TRUE, FALSE)</f>
        <v>1</v>
      </c>
      <c r="K208" s="2">
        <f t="shared" si="2"/>
        <v>1</v>
      </c>
      <c r="L208" s="2">
        <f t="shared" si="3"/>
        <v>0</v>
      </c>
      <c r="M208" s="2">
        <f t="shared" si="4"/>
        <v>0</v>
      </c>
      <c r="N208" s="2">
        <f t="shared" si="5"/>
        <v>0</v>
      </c>
      <c r="O208" s="2">
        <f t="shared" si="6"/>
        <v>1</v>
      </c>
      <c r="P208" s="2">
        <f t="shared" si="7"/>
        <v>1</v>
      </c>
    </row>
    <row r="209" ht="14.25" customHeight="1">
      <c r="A209" s="4">
        <v>45446.15625</v>
      </c>
      <c r="B209" s="1">
        <v>34.98534286046615</v>
      </c>
      <c r="C209" s="1">
        <v>26.409323190731484</v>
      </c>
      <c r="D209" s="1" t="b">
        <f>IF(AND(dss_report!$B209&gt;30, dss_report!$C209&lt;40), TRUE, FALSE)</f>
        <v>1</v>
      </c>
      <c r="E209" s="1"/>
      <c r="F209" s="2">
        <f>LET(
 _xlpm.t,dss_report!$B209, _xlpm.lo,18, _xlpm.hi,28,
 IF(AND(_xlpm.t&gt;=_xlpm.lo, _xlpm.t&lt;=_xlpm.hi), 1,
   IF(_xlpm.t&lt;_xlpm.lo, MAX(0, 1 - (_xlpm.lo - _xlpm.t)/(_xlpm.lo*0.5)),
             MAX(0, 1 - (_xlpm.t - _xlpm.hi)/(_xlpm.hi*0.5))
   )
 )
)</f>
        <v>0.5010469385</v>
      </c>
      <c r="G209" s="2">
        <f>LET(
 _xlpm.h,dss_report!$C209, _xlpm.lo,45, _xlpm.hi,70,
 IF(AND(_xlpm.h&gt;=_xlpm.lo, _xlpm.h&lt;=_xlpm.hi), 1,
   IF(_xlpm.h&lt;_xlpm.lo, MAX(0, 1 - (_xlpm.lo - _xlpm.h)/(_xlpm.lo*0.5)),
             MAX(0, 1 - (_xlpm.h - _xlpm.hi)/(_xlpm.hi*0.5))
   )
 )
)</f>
        <v>0.1737476974</v>
      </c>
      <c r="H209" s="2">
        <f t="shared" si="1"/>
        <v>0.3701272421</v>
      </c>
      <c r="I209" s="2" t="b">
        <f>IF(OR(dss_report!$D209=TRUE, H209&lt;0.3), TRUE, FALSE)</f>
        <v>1</v>
      </c>
      <c r="J209" s="2" t="b">
        <f>IF( OR( AND(dss_report!$B209&gt;31, dss_report!$C209&lt;38), H209&lt;0.25 ), TRUE, FALSE)</f>
        <v>1</v>
      </c>
      <c r="K209" s="2">
        <f t="shared" si="2"/>
        <v>1</v>
      </c>
      <c r="L209" s="2">
        <f t="shared" si="3"/>
        <v>0</v>
      </c>
      <c r="M209" s="2">
        <f t="shared" si="4"/>
        <v>0</v>
      </c>
      <c r="N209" s="2">
        <f t="shared" si="5"/>
        <v>0</v>
      </c>
      <c r="O209" s="2">
        <f t="shared" si="6"/>
        <v>1</v>
      </c>
      <c r="P209" s="2">
        <f t="shared" si="7"/>
        <v>1</v>
      </c>
    </row>
    <row r="210" ht="14.25" customHeight="1">
      <c r="A210" s="4">
        <v>45446.166666666664</v>
      </c>
      <c r="B210" s="1">
        <v>35.71759501939712</v>
      </c>
      <c r="C210" s="1">
        <v>27.162447030371965</v>
      </c>
      <c r="D210" s="1" t="b">
        <f>IF(AND(dss_report!$B210&gt;30, dss_report!$C210&lt;40), TRUE, FALSE)</f>
        <v>1</v>
      </c>
      <c r="E210" s="1"/>
      <c r="F210" s="2">
        <f>LET(
 _xlpm.t,dss_report!$B210, _xlpm.lo,18, _xlpm.hi,28,
 IF(AND(_xlpm.t&gt;=_xlpm.lo, _xlpm.t&lt;=_xlpm.hi), 1,
   IF(_xlpm.t&lt;_xlpm.lo, MAX(0, 1 - (_xlpm.lo - _xlpm.t)/(_xlpm.lo*0.5)),
             MAX(0, 1 - (_xlpm.t - _xlpm.hi)/(_xlpm.hi*0.5))
   )
 )
)</f>
        <v>0.4487432129</v>
      </c>
      <c r="G210" s="2">
        <f>LET(
 _xlpm.h,dss_report!$C210, _xlpm.lo,45, _xlpm.hi,70,
 IF(AND(_xlpm.h&gt;=_xlpm.lo, _xlpm.h&lt;=_xlpm.hi), 1,
   IF(_xlpm.h&lt;_xlpm.lo, MAX(0, 1 - (_xlpm.lo - _xlpm.h)/(_xlpm.lo*0.5)),
             MAX(0, 1 - (_xlpm.h - _xlpm.hi)/(_xlpm.hi*0.5))
   )
 )
)</f>
        <v>0.207219868</v>
      </c>
      <c r="H210" s="2">
        <f t="shared" si="1"/>
        <v>0.3521338749</v>
      </c>
      <c r="I210" s="2" t="b">
        <f>IF(OR(dss_report!$D210=TRUE, H210&lt;0.3), TRUE, FALSE)</f>
        <v>1</v>
      </c>
      <c r="J210" s="2" t="b">
        <f>IF( OR( AND(dss_report!$B210&gt;31, dss_report!$C210&lt;38), H210&lt;0.25 ), TRUE, FALSE)</f>
        <v>1</v>
      </c>
      <c r="K210" s="2">
        <f t="shared" si="2"/>
        <v>1</v>
      </c>
      <c r="L210" s="2">
        <f t="shared" si="3"/>
        <v>0</v>
      </c>
      <c r="M210" s="2">
        <f t="shared" si="4"/>
        <v>0</v>
      </c>
      <c r="N210" s="2">
        <f t="shared" si="5"/>
        <v>0</v>
      </c>
      <c r="O210" s="2">
        <f t="shared" si="6"/>
        <v>1</v>
      </c>
      <c r="P210" s="2">
        <f t="shared" si="7"/>
        <v>1</v>
      </c>
    </row>
    <row r="211" ht="14.25" customHeight="1">
      <c r="A211" s="4">
        <v>45446.177083333336</v>
      </c>
      <c r="B211" s="1">
        <v>35.36579355458578</v>
      </c>
      <c r="C211" s="1">
        <v>27.74924726769892</v>
      </c>
      <c r="D211" s="1" t="b">
        <f>IF(AND(dss_report!$B211&gt;30, dss_report!$C211&lt;40), TRUE, FALSE)</f>
        <v>1</v>
      </c>
      <c r="E211" s="1"/>
      <c r="F211" s="2">
        <f>LET(
 _xlpm.t,dss_report!$B211, _xlpm.lo,18, _xlpm.hi,28,
 IF(AND(_xlpm.t&gt;=_xlpm.lo, _xlpm.t&lt;=_xlpm.hi), 1,
   IF(_xlpm.t&lt;_xlpm.lo, MAX(0, 1 - (_xlpm.lo - _xlpm.t)/(_xlpm.lo*0.5)),
             MAX(0, 1 - (_xlpm.t - _xlpm.hi)/(_xlpm.hi*0.5))
   )
 )
)</f>
        <v>0.473871889</v>
      </c>
      <c r="G211" s="2">
        <f>LET(
 _xlpm.h,dss_report!$C211, _xlpm.lo,45, _xlpm.hi,70,
 IF(AND(_xlpm.h&gt;=_xlpm.lo, _xlpm.h&lt;=_xlpm.hi), 1,
   IF(_xlpm.h&lt;_xlpm.lo, MAX(0, 1 - (_xlpm.lo - _xlpm.h)/(_xlpm.lo*0.5)),
             MAX(0, 1 - (_xlpm.h - _xlpm.hi)/(_xlpm.hi*0.5))
   )
 )
)</f>
        <v>0.2332998786</v>
      </c>
      <c r="H211" s="2">
        <f t="shared" si="1"/>
        <v>0.3776430848</v>
      </c>
      <c r="I211" s="2" t="b">
        <f>IF(OR(dss_report!$D211=TRUE, H211&lt;0.3), TRUE, FALSE)</f>
        <v>1</v>
      </c>
      <c r="J211" s="2" t="b">
        <f>IF( OR( AND(dss_report!$B211&gt;31, dss_report!$C211&lt;38), H211&lt;0.25 ), TRUE, FALSE)</f>
        <v>1</v>
      </c>
      <c r="K211" s="2">
        <f t="shared" si="2"/>
        <v>1</v>
      </c>
      <c r="L211" s="2">
        <f t="shared" si="3"/>
        <v>0</v>
      </c>
      <c r="M211" s="2">
        <f t="shared" si="4"/>
        <v>0</v>
      </c>
      <c r="N211" s="2">
        <f t="shared" si="5"/>
        <v>0</v>
      </c>
      <c r="O211" s="2">
        <f t="shared" si="6"/>
        <v>1</v>
      </c>
      <c r="P211" s="2">
        <f t="shared" si="7"/>
        <v>1</v>
      </c>
    </row>
    <row r="212" ht="14.25" customHeight="1">
      <c r="A212" s="4">
        <v>45446.1875</v>
      </c>
      <c r="B212" s="1">
        <v>35.6371115782407</v>
      </c>
      <c r="C212" s="1">
        <v>34.242404959294205</v>
      </c>
      <c r="D212" s="1" t="b">
        <f>IF(AND(dss_report!$B212&gt;30, dss_report!$C212&lt;40), TRUE, FALSE)</f>
        <v>1</v>
      </c>
      <c r="E212" s="1"/>
      <c r="F212" s="2">
        <f>LET(
 _xlpm.t,dss_report!$B212, _xlpm.lo,18, _xlpm.hi,28,
 IF(AND(_xlpm.t&gt;=_xlpm.lo, _xlpm.t&lt;=_xlpm.hi), 1,
   IF(_xlpm.t&lt;_xlpm.lo, MAX(0, 1 - (_xlpm.lo - _xlpm.t)/(_xlpm.lo*0.5)),
             MAX(0, 1 - (_xlpm.t - _xlpm.hi)/(_xlpm.hi*0.5))
   )
 )
)</f>
        <v>0.4544920301</v>
      </c>
      <c r="G212" s="2">
        <f>LET(
 _xlpm.h,dss_report!$C212, _xlpm.lo,45, _xlpm.hi,70,
 IF(AND(_xlpm.h&gt;=_xlpm.lo, _xlpm.h&lt;=_xlpm.hi), 1,
   IF(_xlpm.h&lt;_xlpm.lo, MAX(0, 1 - (_xlpm.lo - _xlpm.h)/(_xlpm.lo*0.5)),
             MAX(0, 1 - (_xlpm.h - _xlpm.hi)/(_xlpm.hi*0.5))
   )
 )
)</f>
        <v>0.5218846649</v>
      </c>
      <c r="H212" s="2">
        <f t="shared" si="1"/>
        <v>0.481449084</v>
      </c>
      <c r="I212" s="2" t="b">
        <f>IF(OR(dss_report!$D212=TRUE, H212&lt;0.3), TRUE, FALSE)</f>
        <v>1</v>
      </c>
      <c r="J212" s="2" t="b">
        <f>IF( OR( AND(dss_report!$B212&gt;31, dss_report!$C212&lt;38), H212&lt;0.25 ), TRUE, FALSE)</f>
        <v>1</v>
      </c>
      <c r="K212" s="2">
        <f t="shared" si="2"/>
        <v>1</v>
      </c>
      <c r="L212" s="2">
        <f t="shared" si="3"/>
        <v>0</v>
      </c>
      <c r="M212" s="2">
        <f t="shared" si="4"/>
        <v>0</v>
      </c>
      <c r="N212" s="2">
        <f t="shared" si="5"/>
        <v>0</v>
      </c>
      <c r="O212" s="2">
        <f t="shared" si="6"/>
        <v>1</v>
      </c>
      <c r="P212" s="2">
        <f t="shared" si="7"/>
        <v>1</v>
      </c>
    </row>
    <row r="213" ht="14.25" customHeight="1">
      <c r="A213" s="4">
        <v>45446.197916666664</v>
      </c>
      <c r="B213" s="1">
        <v>33.8589914725181</v>
      </c>
      <c r="C213" s="1">
        <v>31.712643693032554</v>
      </c>
      <c r="D213" s="1" t="b">
        <f>IF(AND(dss_report!$B213&gt;30, dss_report!$C213&lt;40), TRUE, FALSE)</f>
        <v>1</v>
      </c>
      <c r="E213" s="1"/>
      <c r="F213" s="2">
        <f>LET(
 _xlpm.t,dss_report!$B213, _xlpm.lo,18, _xlpm.hi,28,
 IF(AND(_xlpm.t&gt;=_xlpm.lo, _xlpm.t&lt;=_xlpm.hi), 1,
   IF(_xlpm.t&lt;_xlpm.lo, MAX(0, 1 - (_xlpm.lo - _xlpm.t)/(_xlpm.lo*0.5)),
             MAX(0, 1 - (_xlpm.t - _xlpm.hi)/(_xlpm.hi*0.5))
   )
 )
)</f>
        <v>0.5815006091</v>
      </c>
      <c r="G213" s="2">
        <f>LET(
 _xlpm.h,dss_report!$C213, _xlpm.lo,45, _xlpm.hi,70,
 IF(AND(_xlpm.h&gt;=_xlpm.lo, _xlpm.h&lt;=_xlpm.hi), 1,
   IF(_xlpm.h&lt;_xlpm.lo, MAX(0, 1 - (_xlpm.lo - _xlpm.h)/(_xlpm.lo*0.5)),
             MAX(0, 1 - (_xlpm.h - _xlpm.hi)/(_xlpm.hi*0.5))
   )
 )
)</f>
        <v>0.4094508308</v>
      </c>
      <c r="H213" s="2">
        <f t="shared" si="1"/>
        <v>0.5126806978</v>
      </c>
      <c r="I213" s="2" t="b">
        <f>IF(OR(dss_report!$D213=TRUE, H213&lt;0.3), TRUE, FALSE)</f>
        <v>1</v>
      </c>
      <c r="J213" s="2" t="b">
        <f>IF( OR( AND(dss_report!$B213&gt;31, dss_report!$C213&lt;38), H213&lt;0.25 ), TRUE, FALSE)</f>
        <v>1</v>
      </c>
      <c r="K213" s="2">
        <f t="shared" si="2"/>
        <v>1</v>
      </c>
      <c r="L213" s="2">
        <f t="shared" si="3"/>
        <v>0</v>
      </c>
      <c r="M213" s="2">
        <f t="shared" si="4"/>
        <v>0</v>
      </c>
      <c r="N213" s="2">
        <f t="shared" si="5"/>
        <v>0</v>
      </c>
      <c r="O213" s="2">
        <f t="shared" si="6"/>
        <v>1</v>
      </c>
      <c r="P213" s="2">
        <f t="shared" si="7"/>
        <v>1</v>
      </c>
    </row>
    <row r="214" ht="14.25" customHeight="1">
      <c r="A214" s="4">
        <v>45446.208333333336</v>
      </c>
      <c r="B214" s="1">
        <v>36.02538999507264</v>
      </c>
      <c r="C214" s="1">
        <v>26.646394235408284</v>
      </c>
      <c r="D214" s="1" t="b">
        <f>IF(AND(dss_report!$B214&gt;30, dss_report!$C214&lt;40), TRUE, FALSE)</f>
        <v>1</v>
      </c>
      <c r="E214" s="1"/>
      <c r="F214" s="2">
        <f>LET(
 _xlpm.t,dss_report!$B214, _xlpm.lo,18, _xlpm.hi,28,
 IF(AND(_xlpm.t&gt;=_xlpm.lo, _xlpm.t&lt;=_xlpm.hi), 1,
   IF(_xlpm.t&lt;_xlpm.lo, MAX(0, 1 - (_xlpm.lo - _xlpm.t)/(_xlpm.lo*0.5)),
             MAX(0, 1 - (_xlpm.t - _xlpm.hi)/(_xlpm.hi*0.5))
   )
 )
)</f>
        <v>0.4267578575</v>
      </c>
      <c r="G214" s="2">
        <f>LET(
 _xlpm.h,dss_report!$C214, _xlpm.lo,45, _xlpm.hi,70,
 IF(AND(_xlpm.h&gt;=_xlpm.lo, _xlpm.h&lt;=_xlpm.hi), 1,
   IF(_xlpm.h&lt;_xlpm.lo, MAX(0, 1 - (_xlpm.lo - _xlpm.h)/(_xlpm.lo*0.5)),
             MAX(0, 1 - (_xlpm.h - _xlpm.hi)/(_xlpm.hi*0.5))
   )
 )
)</f>
        <v>0.1842841882</v>
      </c>
      <c r="H214" s="2">
        <f t="shared" si="1"/>
        <v>0.3297683898</v>
      </c>
      <c r="I214" s="2" t="b">
        <f>IF(OR(dss_report!$D214=TRUE, H214&lt;0.3), TRUE, FALSE)</f>
        <v>1</v>
      </c>
      <c r="J214" s="2" t="b">
        <f>IF( OR( AND(dss_report!$B214&gt;31, dss_report!$C214&lt;38), H214&lt;0.25 ), TRUE, FALSE)</f>
        <v>1</v>
      </c>
      <c r="K214" s="2">
        <f t="shared" si="2"/>
        <v>1</v>
      </c>
      <c r="L214" s="2">
        <f t="shared" si="3"/>
        <v>0</v>
      </c>
      <c r="M214" s="2">
        <f t="shared" si="4"/>
        <v>0</v>
      </c>
      <c r="N214" s="2">
        <f t="shared" si="5"/>
        <v>0</v>
      </c>
      <c r="O214" s="2">
        <f t="shared" si="6"/>
        <v>1</v>
      </c>
      <c r="P214" s="2">
        <f t="shared" si="7"/>
        <v>1</v>
      </c>
    </row>
    <row r="215" ht="14.25" customHeight="1">
      <c r="A215" s="4">
        <v>45446.21875</v>
      </c>
      <c r="B215" s="1">
        <v>34.07583811527124</v>
      </c>
      <c r="C215" s="1">
        <v>34.6282107891027</v>
      </c>
      <c r="D215" s="1" t="b">
        <f>IF(AND(dss_report!$B215&gt;30, dss_report!$C215&lt;40), TRUE, FALSE)</f>
        <v>1</v>
      </c>
      <c r="E215" s="1"/>
      <c r="F215" s="2">
        <f>LET(
 _xlpm.t,dss_report!$B215, _xlpm.lo,18, _xlpm.hi,28,
 IF(AND(_xlpm.t&gt;=_xlpm.lo, _xlpm.t&lt;=_xlpm.hi), 1,
   IF(_xlpm.t&lt;_xlpm.lo, MAX(0, 1 - (_xlpm.lo - _xlpm.t)/(_xlpm.lo*0.5)),
             MAX(0, 1 - (_xlpm.t - _xlpm.hi)/(_xlpm.hi*0.5))
   )
 )
)</f>
        <v>0.5660115632</v>
      </c>
      <c r="G215" s="2">
        <f>LET(
 _xlpm.h,dss_report!$C215, _xlpm.lo,45, _xlpm.hi,70,
 IF(AND(_xlpm.h&gt;=_xlpm.lo, _xlpm.h&lt;=_xlpm.hi), 1,
   IF(_xlpm.h&lt;_xlpm.lo, MAX(0, 1 - (_xlpm.lo - _xlpm.h)/(_xlpm.lo*0.5)),
             MAX(0, 1 - (_xlpm.h - _xlpm.hi)/(_xlpm.hi*0.5))
   )
 )
)</f>
        <v>0.5390315906</v>
      </c>
      <c r="H215" s="2">
        <f t="shared" si="1"/>
        <v>0.5552195742</v>
      </c>
      <c r="I215" s="2" t="b">
        <f>IF(OR(dss_report!$D215=TRUE, H215&lt;0.3), TRUE, FALSE)</f>
        <v>1</v>
      </c>
      <c r="J215" s="2" t="b">
        <f>IF( OR( AND(dss_report!$B215&gt;31, dss_report!$C215&lt;38), H215&lt;0.25 ), TRUE, FALSE)</f>
        <v>1</v>
      </c>
      <c r="K215" s="2">
        <f t="shared" si="2"/>
        <v>1</v>
      </c>
      <c r="L215" s="2">
        <f t="shared" si="3"/>
        <v>0</v>
      </c>
      <c r="M215" s="2">
        <f t="shared" si="4"/>
        <v>0</v>
      </c>
      <c r="N215" s="2">
        <f t="shared" si="5"/>
        <v>0</v>
      </c>
      <c r="O215" s="2">
        <f t="shared" si="6"/>
        <v>1</v>
      </c>
      <c r="P215" s="2">
        <f t="shared" si="7"/>
        <v>1</v>
      </c>
    </row>
    <row r="216" ht="14.25" customHeight="1">
      <c r="A216" s="4">
        <v>45446.229166666664</v>
      </c>
      <c r="B216" s="1">
        <v>34.373153893279124</v>
      </c>
      <c r="C216" s="1">
        <v>33.337947954130655</v>
      </c>
      <c r="D216" s="1" t="b">
        <f>IF(AND(dss_report!$B216&gt;30, dss_report!$C216&lt;40), TRUE, FALSE)</f>
        <v>1</v>
      </c>
      <c r="E216" s="1"/>
      <c r="F216" s="2">
        <f>LET(
 _xlpm.t,dss_report!$B216, _xlpm.lo,18, _xlpm.hi,28,
 IF(AND(_xlpm.t&gt;=_xlpm.lo, _xlpm.t&lt;=_xlpm.hi), 1,
   IF(_xlpm.t&lt;_xlpm.lo, MAX(0, 1 - (_xlpm.lo - _xlpm.t)/(_xlpm.lo*0.5)),
             MAX(0, 1 - (_xlpm.t - _xlpm.hi)/(_xlpm.hi*0.5))
   )
 )
)</f>
        <v>0.5447747219</v>
      </c>
      <c r="G216" s="2">
        <f>LET(
 _xlpm.h,dss_report!$C216, _xlpm.lo,45, _xlpm.hi,70,
 IF(AND(_xlpm.h&gt;=_xlpm.lo, _xlpm.h&lt;=_xlpm.hi), 1,
   IF(_xlpm.h&lt;_xlpm.lo, MAX(0, 1 - (_xlpm.lo - _xlpm.h)/(_xlpm.lo*0.5)),
             MAX(0, 1 - (_xlpm.h - _xlpm.hi)/(_xlpm.hi*0.5))
   )
 )
)</f>
        <v>0.4816865757</v>
      </c>
      <c r="H216" s="2">
        <f t="shared" si="1"/>
        <v>0.5195394634</v>
      </c>
      <c r="I216" s="2" t="b">
        <f>IF(OR(dss_report!$D216=TRUE, H216&lt;0.3), TRUE, FALSE)</f>
        <v>1</v>
      </c>
      <c r="J216" s="2" t="b">
        <f>IF( OR( AND(dss_report!$B216&gt;31, dss_report!$C216&lt;38), H216&lt;0.25 ), TRUE, FALSE)</f>
        <v>1</v>
      </c>
      <c r="K216" s="2">
        <f t="shared" si="2"/>
        <v>1</v>
      </c>
      <c r="L216" s="2">
        <f t="shared" si="3"/>
        <v>0</v>
      </c>
      <c r="M216" s="2">
        <f t="shared" si="4"/>
        <v>0</v>
      </c>
      <c r="N216" s="2">
        <f t="shared" si="5"/>
        <v>0</v>
      </c>
      <c r="O216" s="2">
        <f t="shared" si="6"/>
        <v>1</v>
      </c>
      <c r="P216" s="2">
        <f t="shared" si="7"/>
        <v>1</v>
      </c>
    </row>
    <row r="217" ht="14.25" customHeight="1">
      <c r="A217" s="4">
        <v>45446.239583333336</v>
      </c>
      <c r="B217" s="1">
        <v>35.70997785131252</v>
      </c>
      <c r="C217" s="1">
        <v>27.346897755722413</v>
      </c>
      <c r="D217" s="1" t="b">
        <f>IF(AND(dss_report!$B217&gt;30, dss_report!$C217&lt;40), TRUE, FALSE)</f>
        <v>1</v>
      </c>
      <c r="E217" s="1"/>
      <c r="F217" s="2">
        <f>LET(
 _xlpm.t,dss_report!$B217, _xlpm.lo,18, _xlpm.hi,28,
 IF(AND(_xlpm.t&gt;=_xlpm.lo, _xlpm.t&lt;=_xlpm.hi), 1,
   IF(_xlpm.t&lt;_xlpm.lo, MAX(0, 1 - (_xlpm.lo - _xlpm.t)/(_xlpm.lo*0.5)),
             MAX(0, 1 - (_xlpm.t - _xlpm.hi)/(_xlpm.hi*0.5))
   )
 )
)</f>
        <v>0.4492872963</v>
      </c>
      <c r="G217" s="2">
        <f>LET(
 _xlpm.h,dss_report!$C217, _xlpm.lo,45, _xlpm.hi,70,
 IF(AND(_xlpm.h&gt;=_xlpm.lo, _xlpm.h&lt;=_xlpm.hi), 1,
   IF(_xlpm.h&lt;_xlpm.lo, MAX(0, 1 - (_xlpm.lo - _xlpm.h)/(_xlpm.lo*0.5)),
             MAX(0, 1 - (_xlpm.h - _xlpm.hi)/(_xlpm.hi*0.5))
   )
 )
)</f>
        <v>0.215417678</v>
      </c>
      <c r="H217" s="2">
        <f t="shared" si="1"/>
        <v>0.355739449</v>
      </c>
      <c r="I217" s="2" t="b">
        <f>IF(OR(dss_report!$D217=TRUE, H217&lt;0.3), TRUE, FALSE)</f>
        <v>1</v>
      </c>
      <c r="J217" s="2" t="b">
        <f>IF( OR( AND(dss_report!$B217&gt;31, dss_report!$C217&lt;38), H217&lt;0.25 ), TRUE, FALSE)</f>
        <v>1</v>
      </c>
      <c r="K217" s="2">
        <f t="shared" si="2"/>
        <v>1</v>
      </c>
      <c r="L217" s="2">
        <f t="shared" si="3"/>
        <v>0</v>
      </c>
      <c r="M217" s="2">
        <f t="shared" si="4"/>
        <v>0</v>
      </c>
      <c r="N217" s="2">
        <f t="shared" si="5"/>
        <v>0</v>
      </c>
      <c r="O217" s="2">
        <f t="shared" si="6"/>
        <v>1</v>
      </c>
      <c r="P217" s="2">
        <f t="shared" si="7"/>
        <v>1</v>
      </c>
    </row>
    <row r="218" ht="14.25" customHeight="1">
      <c r="A218" s="4">
        <v>45446.25</v>
      </c>
      <c r="B218" s="1">
        <v>34.89784265808367</v>
      </c>
      <c r="C218" s="1">
        <v>23.347519682077063</v>
      </c>
      <c r="D218" s="1" t="b">
        <f>IF(AND(dss_report!$B218&gt;30, dss_report!$C218&lt;40), TRUE, FALSE)</f>
        <v>1</v>
      </c>
      <c r="E218" s="1"/>
      <c r="F218" s="2">
        <f>LET(
 _xlpm.t,dss_report!$B218, _xlpm.lo,18, _xlpm.hi,28,
 IF(AND(_xlpm.t&gt;=_xlpm.lo, _xlpm.t&lt;=_xlpm.hi), 1,
   IF(_xlpm.t&lt;_xlpm.lo, MAX(0, 1 - (_xlpm.lo - _xlpm.t)/(_xlpm.lo*0.5)),
             MAX(0, 1 - (_xlpm.t - _xlpm.hi)/(_xlpm.hi*0.5))
   )
 )
)</f>
        <v>0.507296953</v>
      </c>
      <c r="G218" s="2">
        <f>LET(
 _xlpm.h,dss_report!$C218, _xlpm.lo,45, _xlpm.hi,70,
 IF(AND(_xlpm.h&gt;=_xlpm.lo, _xlpm.h&lt;=_xlpm.hi), 1,
   IF(_xlpm.h&lt;_xlpm.lo, MAX(0, 1 - (_xlpm.lo - _xlpm.h)/(_xlpm.lo*0.5)),
             MAX(0, 1 - (_xlpm.h - _xlpm.hi)/(_xlpm.hi*0.5))
   )
 )
)</f>
        <v>0.03766754143</v>
      </c>
      <c r="H218" s="2">
        <f t="shared" si="1"/>
        <v>0.3194451884</v>
      </c>
      <c r="I218" s="2" t="b">
        <f>IF(OR(dss_report!$D218=TRUE, H218&lt;0.3), TRUE, FALSE)</f>
        <v>1</v>
      </c>
      <c r="J218" s="2" t="b">
        <f>IF( OR( AND(dss_report!$B218&gt;31, dss_report!$C218&lt;38), H218&lt;0.25 ), TRUE, FALSE)</f>
        <v>1</v>
      </c>
      <c r="K218" s="2">
        <f t="shared" si="2"/>
        <v>1</v>
      </c>
      <c r="L218" s="2">
        <f t="shared" si="3"/>
        <v>0</v>
      </c>
      <c r="M218" s="2">
        <f t="shared" si="4"/>
        <v>0</v>
      </c>
      <c r="N218" s="2">
        <f t="shared" si="5"/>
        <v>0</v>
      </c>
      <c r="O218" s="2">
        <f t="shared" si="6"/>
        <v>1</v>
      </c>
      <c r="P218" s="2">
        <f t="shared" si="7"/>
        <v>1</v>
      </c>
    </row>
    <row r="219" ht="14.25" customHeight="1">
      <c r="A219" s="4">
        <v>45446.260416666664</v>
      </c>
      <c r="B219" s="1">
        <v>36.41026651772517</v>
      </c>
      <c r="C219" s="1">
        <v>32.4037465406749</v>
      </c>
      <c r="D219" s="1" t="b">
        <f>IF(AND(dss_report!$B219&gt;30, dss_report!$C219&lt;40), TRUE, FALSE)</f>
        <v>1</v>
      </c>
      <c r="E219" s="1"/>
      <c r="F219" s="2">
        <f>LET(
 _xlpm.t,dss_report!$B219, _xlpm.lo,18, _xlpm.hi,28,
 IF(AND(_xlpm.t&gt;=_xlpm.lo, _xlpm.t&lt;=_xlpm.hi), 1,
   IF(_xlpm.t&lt;_xlpm.lo, MAX(0, 1 - (_xlpm.lo - _xlpm.t)/(_xlpm.lo*0.5)),
             MAX(0, 1 - (_xlpm.t - _xlpm.hi)/(_xlpm.hi*0.5))
   )
 )
)</f>
        <v>0.3992666773</v>
      </c>
      <c r="G219" s="2">
        <f>LET(
 _xlpm.h,dss_report!$C219, _xlpm.lo,45, _xlpm.hi,70,
 IF(AND(_xlpm.h&gt;=_xlpm.lo, _xlpm.h&lt;=_xlpm.hi), 1,
   IF(_xlpm.h&lt;_xlpm.lo, MAX(0, 1 - (_xlpm.lo - _xlpm.h)/(_xlpm.lo*0.5)),
             MAX(0, 1 - (_xlpm.h - _xlpm.hi)/(_xlpm.hi*0.5))
   )
 )
)</f>
        <v>0.4401665129</v>
      </c>
      <c r="H219" s="2">
        <f t="shared" si="1"/>
        <v>0.4156266116</v>
      </c>
      <c r="I219" s="2" t="b">
        <f>IF(OR(dss_report!$D219=TRUE, H219&lt;0.3), TRUE, FALSE)</f>
        <v>1</v>
      </c>
      <c r="J219" s="2" t="b">
        <f>IF( OR( AND(dss_report!$B219&gt;31, dss_report!$C219&lt;38), H219&lt;0.25 ), TRUE, FALSE)</f>
        <v>1</v>
      </c>
      <c r="K219" s="2">
        <f t="shared" si="2"/>
        <v>1</v>
      </c>
      <c r="L219" s="2">
        <f t="shared" si="3"/>
        <v>0</v>
      </c>
      <c r="M219" s="2">
        <f t="shared" si="4"/>
        <v>0</v>
      </c>
      <c r="N219" s="2">
        <f t="shared" si="5"/>
        <v>0</v>
      </c>
      <c r="O219" s="2">
        <f t="shared" si="6"/>
        <v>1</v>
      </c>
      <c r="P219" s="2">
        <f t="shared" si="7"/>
        <v>1</v>
      </c>
    </row>
    <row r="220" ht="14.25" customHeight="1">
      <c r="A220" s="4">
        <v>45446.270833333336</v>
      </c>
      <c r="B220" s="1">
        <v>35.28893697036514</v>
      </c>
      <c r="C220" s="1">
        <v>28.49305463567469</v>
      </c>
      <c r="D220" s="1" t="b">
        <f>IF(AND(dss_report!$B220&gt;30, dss_report!$C220&lt;40), TRUE, FALSE)</f>
        <v>1</v>
      </c>
      <c r="E220" s="1"/>
      <c r="F220" s="2">
        <f>LET(
 _xlpm.t,dss_report!$B220, _xlpm.lo,18, _xlpm.hi,28,
 IF(AND(_xlpm.t&gt;=_xlpm.lo, _xlpm.t&lt;=_xlpm.hi), 1,
   IF(_xlpm.t&lt;_xlpm.lo, MAX(0, 1 - (_xlpm.lo - _xlpm.t)/(_xlpm.lo*0.5)),
             MAX(0, 1 - (_xlpm.t - _xlpm.hi)/(_xlpm.hi*0.5))
   )
 )
)</f>
        <v>0.479361645</v>
      </c>
      <c r="G220" s="2">
        <f>LET(
 _xlpm.h,dss_report!$C220, _xlpm.lo,45, _xlpm.hi,70,
 IF(AND(_xlpm.h&gt;=_xlpm.lo, _xlpm.h&lt;=_xlpm.hi), 1,
   IF(_xlpm.h&lt;_xlpm.lo, MAX(0, 1 - (_xlpm.lo - _xlpm.h)/(_xlpm.lo*0.5)),
             MAX(0, 1 - (_xlpm.h - _xlpm.hi)/(_xlpm.hi*0.5))
   )
 )
)</f>
        <v>0.2663579838</v>
      </c>
      <c r="H220" s="2">
        <f t="shared" si="1"/>
        <v>0.3941601805</v>
      </c>
      <c r="I220" s="2" t="b">
        <f>IF(OR(dss_report!$D220=TRUE, H220&lt;0.3), TRUE, FALSE)</f>
        <v>1</v>
      </c>
      <c r="J220" s="2" t="b">
        <f>IF( OR( AND(dss_report!$B220&gt;31, dss_report!$C220&lt;38), H220&lt;0.25 ), TRUE, FALSE)</f>
        <v>1</v>
      </c>
      <c r="K220" s="2">
        <f t="shared" si="2"/>
        <v>1</v>
      </c>
      <c r="L220" s="2">
        <f t="shared" si="3"/>
        <v>0</v>
      </c>
      <c r="M220" s="2">
        <f t="shared" si="4"/>
        <v>0</v>
      </c>
      <c r="N220" s="2">
        <f t="shared" si="5"/>
        <v>0</v>
      </c>
      <c r="O220" s="2">
        <f t="shared" si="6"/>
        <v>1</v>
      </c>
      <c r="P220" s="2">
        <f t="shared" si="7"/>
        <v>1</v>
      </c>
    </row>
    <row r="221" ht="14.25" customHeight="1">
      <c r="A221" s="4">
        <v>45446.28125</v>
      </c>
      <c r="B221" s="1">
        <v>34.45990689106163</v>
      </c>
      <c r="C221" s="1">
        <v>29.65928802248742</v>
      </c>
      <c r="D221" s="1" t="b">
        <f>IF(AND(dss_report!$B221&gt;30, dss_report!$C221&lt;40), TRUE, FALSE)</f>
        <v>1</v>
      </c>
      <c r="E221" s="1"/>
      <c r="F221" s="2">
        <f>LET(
 _xlpm.t,dss_report!$B221, _xlpm.lo,18, _xlpm.hi,28,
 IF(AND(_xlpm.t&gt;=_xlpm.lo, _xlpm.t&lt;=_xlpm.hi), 1,
   IF(_xlpm.t&lt;_xlpm.lo, MAX(0, 1 - (_xlpm.lo - _xlpm.t)/(_xlpm.lo*0.5)),
             MAX(0, 1 - (_xlpm.t - _xlpm.hi)/(_xlpm.hi*0.5))
   )
 )
)</f>
        <v>0.5385780792</v>
      </c>
      <c r="G221" s="2">
        <f>LET(
 _xlpm.h,dss_report!$C221, _xlpm.lo,45, _xlpm.hi,70,
 IF(AND(_xlpm.h&gt;=_xlpm.lo, _xlpm.h&lt;=_xlpm.hi), 1,
   IF(_xlpm.h&lt;_xlpm.lo, MAX(0, 1 - (_xlpm.lo - _xlpm.h)/(_xlpm.lo*0.5)),
             MAX(0, 1 - (_xlpm.h - _xlpm.hi)/(_xlpm.hi*0.5))
   )
 )
)</f>
        <v>0.3181905788</v>
      </c>
      <c r="H221" s="2">
        <f t="shared" si="1"/>
        <v>0.450423079</v>
      </c>
      <c r="I221" s="2" t="b">
        <f>IF(OR(dss_report!$D221=TRUE, H221&lt;0.3), TRUE, FALSE)</f>
        <v>1</v>
      </c>
      <c r="J221" s="2" t="b">
        <f>IF( OR( AND(dss_report!$B221&gt;31, dss_report!$C221&lt;38), H221&lt;0.25 ), TRUE, FALSE)</f>
        <v>1</v>
      </c>
      <c r="K221" s="2">
        <f t="shared" si="2"/>
        <v>1</v>
      </c>
      <c r="L221" s="2">
        <f t="shared" si="3"/>
        <v>0</v>
      </c>
      <c r="M221" s="2">
        <f t="shared" si="4"/>
        <v>0</v>
      </c>
      <c r="N221" s="2">
        <f t="shared" si="5"/>
        <v>0</v>
      </c>
      <c r="O221" s="2">
        <f t="shared" si="6"/>
        <v>1</v>
      </c>
      <c r="P221" s="2">
        <f t="shared" si="7"/>
        <v>1</v>
      </c>
    </row>
    <row r="222" ht="14.25" customHeight="1">
      <c r="A222" s="4">
        <v>45446.291666666664</v>
      </c>
      <c r="B222" s="1">
        <v>35.28987530433027</v>
      </c>
      <c r="C222" s="1">
        <v>28.68772955201607</v>
      </c>
      <c r="D222" s="1" t="b">
        <f>IF(AND(dss_report!$B222&gt;30, dss_report!$C222&lt;40), TRUE, FALSE)</f>
        <v>1</v>
      </c>
      <c r="E222" s="1"/>
      <c r="F222" s="2">
        <f>LET(
 _xlpm.t,dss_report!$B222, _xlpm.lo,18, _xlpm.hi,28,
 IF(AND(_xlpm.t&gt;=_xlpm.lo, _xlpm.t&lt;=_xlpm.hi), 1,
   IF(_xlpm.t&lt;_xlpm.lo, MAX(0, 1 - (_xlpm.lo - _xlpm.t)/(_xlpm.lo*0.5)),
             MAX(0, 1 - (_xlpm.t - _xlpm.hi)/(_xlpm.hi*0.5))
   )
 )
)</f>
        <v>0.4792946211</v>
      </c>
      <c r="G222" s="2">
        <f>LET(
 _xlpm.h,dss_report!$C222, _xlpm.lo,45, _xlpm.hi,70,
 IF(AND(_xlpm.h&gt;=_xlpm.lo, _xlpm.h&lt;=_xlpm.hi), 1,
   IF(_xlpm.h&lt;_xlpm.lo, MAX(0, 1 - (_xlpm.lo - _xlpm.h)/(_xlpm.lo*0.5)),
             MAX(0, 1 - (_xlpm.h - _xlpm.hi)/(_xlpm.hi*0.5))
   )
 )
)</f>
        <v>0.2750102023</v>
      </c>
      <c r="H222" s="2">
        <f t="shared" si="1"/>
        <v>0.3975808536</v>
      </c>
      <c r="I222" s="2" t="b">
        <f>IF(OR(dss_report!$D222=TRUE, H222&lt;0.3), TRUE, FALSE)</f>
        <v>1</v>
      </c>
      <c r="J222" s="2" t="b">
        <f>IF( OR( AND(dss_report!$B222&gt;31, dss_report!$C222&lt;38), H222&lt;0.25 ), TRUE, FALSE)</f>
        <v>1</v>
      </c>
      <c r="K222" s="2">
        <f t="shared" si="2"/>
        <v>1</v>
      </c>
      <c r="L222" s="2">
        <f t="shared" si="3"/>
        <v>0</v>
      </c>
      <c r="M222" s="2">
        <f t="shared" si="4"/>
        <v>0</v>
      </c>
      <c r="N222" s="2">
        <f t="shared" si="5"/>
        <v>0</v>
      </c>
      <c r="O222" s="2">
        <f t="shared" si="6"/>
        <v>1</v>
      </c>
      <c r="P222" s="2">
        <f t="shared" si="7"/>
        <v>1</v>
      </c>
    </row>
    <row r="223" ht="14.25" customHeight="1">
      <c r="A223" s="4">
        <v>45446.302083333336</v>
      </c>
      <c r="B223" s="1">
        <v>34.901804536482004</v>
      </c>
      <c r="C223" s="1">
        <v>33.14822030583595</v>
      </c>
      <c r="D223" s="1" t="b">
        <f>IF(AND(dss_report!$B223&gt;30, dss_report!$C223&lt;40), TRUE, FALSE)</f>
        <v>1</v>
      </c>
      <c r="E223" s="1"/>
      <c r="F223" s="2">
        <f>LET(
 _xlpm.t,dss_report!$B223, _xlpm.lo,18, _xlpm.hi,28,
 IF(AND(_xlpm.t&gt;=_xlpm.lo, _xlpm.t&lt;=_xlpm.hi), 1,
   IF(_xlpm.t&lt;_xlpm.lo, MAX(0, 1 - (_xlpm.lo - _xlpm.t)/(_xlpm.lo*0.5)),
             MAX(0, 1 - (_xlpm.t - _xlpm.hi)/(_xlpm.hi*0.5))
   )
 )
)</f>
        <v>0.5070139617</v>
      </c>
      <c r="G223" s="2">
        <f>LET(
 _xlpm.h,dss_report!$C223, _xlpm.lo,45, _xlpm.hi,70,
 IF(AND(_xlpm.h&gt;=_xlpm.lo, _xlpm.h&lt;=_xlpm.hi), 1,
   IF(_xlpm.h&lt;_xlpm.lo, MAX(0, 1 - (_xlpm.lo - _xlpm.h)/(_xlpm.lo*0.5)),
             MAX(0, 1 - (_xlpm.h - _xlpm.hi)/(_xlpm.hi*0.5))
   )
 )
)</f>
        <v>0.4732542358</v>
      </c>
      <c r="H223" s="2">
        <f t="shared" si="1"/>
        <v>0.4935100713</v>
      </c>
      <c r="I223" s="2" t="b">
        <f>IF(OR(dss_report!$D223=TRUE, H223&lt;0.3), TRUE, FALSE)</f>
        <v>1</v>
      </c>
      <c r="J223" s="2" t="b">
        <f>IF( OR( AND(dss_report!$B223&gt;31, dss_report!$C223&lt;38), H223&lt;0.25 ), TRUE, FALSE)</f>
        <v>1</v>
      </c>
      <c r="K223" s="2">
        <f t="shared" si="2"/>
        <v>1</v>
      </c>
      <c r="L223" s="2">
        <f t="shared" si="3"/>
        <v>0</v>
      </c>
      <c r="M223" s="2">
        <f t="shared" si="4"/>
        <v>0</v>
      </c>
      <c r="N223" s="2">
        <f t="shared" si="5"/>
        <v>0</v>
      </c>
      <c r="O223" s="2">
        <f t="shared" si="6"/>
        <v>1</v>
      </c>
      <c r="P223" s="2">
        <f t="shared" si="7"/>
        <v>1</v>
      </c>
    </row>
    <row r="224" ht="14.25" customHeight="1">
      <c r="A224" s="4">
        <v>45446.3125</v>
      </c>
      <c r="B224" s="1">
        <v>36.271037280390644</v>
      </c>
      <c r="C224" s="1">
        <v>33.697441739763605</v>
      </c>
      <c r="D224" s="1" t="b">
        <f>IF(AND(dss_report!$B224&gt;30, dss_report!$C224&lt;40), TRUE, FALSE)</f>
        <v>1</v>
      </c>
      <c r="E224" s="1"/>
      <c r="F224" s="2">
        <f>LET(
 _xlpm.t,dss_report!$B224, _xlpm.lo,18, _xlpm.hi,28,
 IF(AND(_xlpm.t&gt;=_xlpm.lo, _xlpm.t&lt;=_xlpm.hi), 1,
   IF(_xlpm.t&lt;_xlpm.lo, MAX(0, 1 - (_xlpm.lo - _xlpm.t)/(_xlpm.lo*0.5)),
             MAX(0, 1 - (_xlpm.t - _xlpm.hi)/(_xlpm.hi*0.5))
   )
 )
)</f>
        <v>0.4092116228</v>
      </c>
      <c r="G224" s="2">
        <f>LET(
 _xlpm.h,dss_report!$C224, _xlpm.lo,45, _xlpm.hi,70,
 IF(AND(_xlpm.h&gt;=_xlpm.lo, _xlpm.h&lt;=_xlpm.hi), 1,
   IF(_xlpm.h&lt;_xlpm.lo, MAX(0, 1 - (_xlpm.lo - _xlpm.h)/(_xlpm.lo*0.5)),
             MAX(0, 1 - (_xlpm.h - _xlpm.hi)/(_xlpm.hi*0.5))
   )
 )
)</f>
        <v>0.4976640773</v>
      </c>
      <c r="H224" s="2">
        <f t="shared" si="1"/>
        <v>0.4445926046</v>
      </c>
      <c r="I224" s="2" t="b">
        <f>IF(OR(dss_report!$D224=TRUE, H224&lt;0.3), TRUE, FALSE)</f>
        <v>1</v>
      </c>
      <c r="J224" s="2" t="b">
        <f>IF( OR( AND(dss_report!$B224&gt;31, dss_report!$C224&lt;38), H224&lt;0.25 ), TRUE, FALSE)</f>
        <v>1</v>
      </c>
      <c r="K224" s="2">
        <f t="shared" si="2"/>
        <v>1</v>
      </c>
      <c r="L224" s="2">
        <f t="shared" si="3"/>
        <v>0</v>
      </c>
      <c r="M224" s="2">
        <f t="shared" si="4"/>
        <v>0</v>
      </c>
      <c r="N224" s="2">
        <f t="shared" si="5"/>
        <v>0</v>
      </c>
      <c r="O224" s="2">
        <f t="shared" si="6"/>
        <v>1</v>
      </c>
      <c r="P224" s="2">
        <f t="shared" si="7"/>
        <v>1</v>
      </c>
    </row>
    <row r="225" ht="14.25" customHeight="1">
      <c r="A225" s="4">
        <v>45446.322916666664</v>
      </c>
      <c r="B225" s="1">
        <v>36.326426289118224</v>
      </c>
      <c r="C225" s="1">
        <v>32.02529447815262</v>
      </c>
      <c r="D225" s="1" t="b">
        <f>IF(AND(dss_report!$B225&gt;30, dss_report!$C225&lt;40), TRUE, FALSE)</f>
        <v>1</v>
      </c>
      <c r="E225" s="1"/>
      <c r="F225" s="2">
        <f>LET(
 _xlpm.t,dss_report!$B225, _xlpm.lo,18, _xlpm.hi,28,
 IF(AND(_xlpm.t&gt;=_xlpm.lo, _xlpm.t&lt;=_xlpm.hi), 1,
   IF(_xlpm.t&lt;_xlpm.lo, MAX(0, 1 - (_xlpm.lo - _xlpm.t)/(_xlpm.lo*0.5)),
             MAX(0, 1 - (_xlpm.t - _xlpm.hi)/(_xlpm.hi*0.5))
   )
 )
)</f>
        <v>0.4052552651</v>
      </c>
      <c r="G225" s="2">
        <f>LET(
 _xlpm.h,dss_report!$C225, _xlpm.lo,45, _xlpm.hi,70,
 IF(AND(_xlpm.h&gt;=_xlpm.lo, _xlpm.h&lt;=_xlpm.hi), 1,
   IF(_xlpm.h&lt;_xlpm.lo, MAX(0, 1 - (_xlpm.lo - _xlpm.h)/(_xlpm.lo*0.5)),
             MAX(0, 1 - (_xlpm.h - _xlpm.hi)/(_xlpm.hi*0.5))
   )
 )
)</f>
        <v>0.4233464213</v>
      </c>
      <c r="H225" s="2">
        <f t="shared" si="1"/>
        <v>0.4124917275</v>
      </c>
      <c r="I225" s="2" t="b">
        <f>IF(OR(dss_report!$D225=TRUE, H225&lt;0.3), TRUE, FALSE)</f>
        <v>1</v>
      </c>
      <c r="J225" s="2" t="b">
        <f>IF( OR( AND(dss_report!$B225&gt;31, dss_report!$C225&lt;38), H225&lt;0.25 ), TRUE, FALSE)</f>
        <v>1</v>
      </c>
      <c r="K225" s="2">
        <f t="shared" si="2"/>
        <v>1</v>
      </c>
      <c r="L225" s="2">
        <f t="shared" si="3"/>
        <v>0</v>
      </c>
      <c r="M225" s="2">
        <f t="shared" si="4"/>
        <v>0</v>
      </c>
      <c r="N225" s="2">
        <f t="shared" si="5"/>
        <v>0</v>
      </c>
      <c r="O225" s="2">
        <f t="shared" si="6"/>
        <v>1</v>
      </c>
      <c r="P225" s="2">
        <f t="shared" si="7"/>
        <v>1</v>
      </c>
    </row>
    <row r="226" ht="14.25" customHeight="1">
      <c r="A226" s="4">
        <v>45446.333333333336</v>
      </c>
      <c r="B226" s="1">
        <v>35.70408939542413</v>
      </c>
      <c r="C226" s="1">
        <v>29.62340786172714</v>
      </c>
      <c r="D226" s="1" t="b">
        <f>IF(AND(dss_report!$B226&gt;30, dss_report!$C226&lt;40), TRUE, FALSE)</f>
        <v>1</v>
      </c>
      <c r="E226" s="1"/>
      <c r="F226" s="2">
        <f>LET(
 _xlpm.t,dss_report!$B226, _xlpm.lo,18, _xlpm.hi,28,
 IF(AND(_xlpm.t&gt;=_xlpm.lo, _xlpm.t&lt;=_xlpm.hi), 1,
   IF(_xlpm.t&lt;_xlpm.lo, MAX(0, 1 - (_xlpm.lo - _xlpm.t)/(_xlpm.lo*0.5)),
             MAX(0, 1 - (_xlpm.t - _xlpm.hi)/(_xlpm.hi*0.5))
   )
 )
)</f>
        <v>0.4497079003</v>
      </c>
      <c r="G226" s="2">
        <f>LET(
 _xlpm.h,dss_report!$C226, _xlpm.lo,45, _xlpm.hi,70,
 IF(AND(_xlpm.h&gt;=_xlpm.lo, _xlpm.h&lt;=_xlpm.hi), 1,
   IF(_xlpm.h&lt;_xlpm.lo, MAX(0, 1 - (_xlpm.lo - _xlpm.h)/(_xlpm.lo*0.5)),
             MAX(0, 1 - (_xlpm.h - _xlpm.hi)/(_xlpm.hi*0.5))
   )
 )
)</f>
        <v>0.316595905</v>
      </c>
      <c r="H226" s="2">
        <f t="shared" si="1"/>
        <v>0.3964631022</v>
      </c>
      <c r="I226" s="2" t="b">
        <f>IF(OR(dss_report!$D226=TRUE, H226&lt;0.3), TRUE, FALSE)</f>
        <v>1</v>
      </c>
      <c r="J226" s="2" t="b">
        <f>IF( OR( AND(dss_report!$B226&gt;31, dss_report!$C226&lt;38), H226&lt;0.25 ), TRUE, FALSE)</f>
        <v>1</v>
      </c>
      <c r="K226" s="2">
        <f t="shared" si="2"/>
        <v>1</v>
      </c>
      <c r="L226" s="2">
        <f t="shared" si="3"/>
        <v>0</v>
      </c>
      <c r="M226" s="2">
        <f t="shared" si="4"/>
        <v>0</v>
      </c>
      <c r="N226" s="2">
        <f t="shared" si="5"/>
        <v>0</v>
      </c>
      <c r="O226" s="2">
        <f t="shared" si="6"/>
        <v>1</v>
      </c>
      <c r="P226" s="2">
        <f t="shared" si="7"/>
        <v>1</v>
      </c>
    </row>
    <row r="227" ht="14.25" customHeight="1">
      <c r="A227" s="4">
        <v>45446.34375</v>
      </c>
      <c r="B227" s="1">
        <v>34.90425081641557</v>
      </c>
      <c r="C227" s="1">
        <v>30.654608960745925</v>
      </c>
      <c r="D227" s="1" t="b">
        <f>IF(AND(dss_report!$B227&gt;30, dss_report!$C227&lt;40), TRUE, FALSE)</f>
        <v>1</v>
      </c>
      <c r="E227" s="1"/>
      <c r="F227" s="2">
        <f>LET(
 _xlpm.t,dss_report!$B227, _xlpm.lo,18, _xlpm.hi,28,
 IF(AND(_xlpm.t&gt;=_xlpm.lo, _xlpm.t&lt;=_xlpm.hi), 1,
   IF(_xlpm.t&lt;_xlpm.lo, MAX(0, 1 - (_xlpm.lo - _xlpm.t)/(_xlpm.lo*0.5)),
             MAX(0, 1 - (_xlpm.t - _xlpm.hi)/(_xlpm.hi*0.5))
   )
 )
)</f>
        <v>0.5068392274</v>
      </c>
      <c r="G227" s="2">
        <f>LET(
 _xlpm.h,dss_report!$C227, _xlpm.lo,45, _xlpm.hi,70,
 IF(AND(_xlpm.h&gt;=_xlpm.lo, _xlpm.h&lt;=_xlpm.hi), 1,
   IF(_xlpm.h&lt;_xlpm.lo, MAX(0, 1 - (_xlpm.lo - _xlpm.h)/(_xlpm.lo*0.5)),
             MAX(0, 1 - (_xlpm.h - _xlpm.hi)/(_xlpm.hi*0.5))
   )
 )
)</f>
        <v>0.3624270649</v>
      </c>
      <c r="H227" s="2">
        <f t="shared" si="1"/>
        <v>0.4490743624</v>
      </c>
      <c r="I227" s="2" t="b">
        <f>IF(OR(dss_report!$D227=TRUE, H227&lt;0.3), TRUE, FALSE)</f>
        <v>1</v>
      </c>
      <c r="J227" s="2" t="b">
        <f>IF( OR( AND(dss_report!$B227&gt;31, dss_report!$C227&lt;38), H227&lt;0.25 ), TRUE, FALSE)</f>
        <v>1</v>
      </c>
      <c r="K227" s="2">
        <f t="shared" si="2"/>
        <v>1</v>
      </c>
      <c r="L227" s="2">
        <f t="shared" si="3"/>
        <v>0</v>
      </c>
      <c r="M227" s="2">
        <f t="shared" si="4"/>
        <v>0</v>
      </c>
      <c r="N227" s="2">
        <f t="shared" si="5"/>
        <v>0</v>
      </c>
      <c r="O227" s="2">
        <f t="shared" si="6"/>
        <v>1</v>
      </c>
      <c r="P227" s="2">
        <f t="shared" si="7"/>
        <v>1</v>
      </c>
    </row>
    <row r="228" ht="14.25" customHeight="1">
      <c r="A228" s="4">
        <v>45446.354166666664</v>
      </c>
      <c r="B228" s="1">
        <v>35.24852066847191</v>
      </c>
      <c r="C228" s="1">
        <v>31.552953934370013</v>
      </c>
      <c r="D228" s="1" t="b">
        <f>IF(AND(dss_report!$B228&gt;30, dss_report!$C228&lt;40), TRUE, FALSE)</f>
        <v>1</v>
      </c>
      <c r="E228" s="1"/>
      <c r="F228" s="2">
        <f>LET(
 _xlpm.t,dss_report!$B228, _xlpm.lo,18, _xlpm.hi,28,
 IF(AND(_xlpm.t&gt;=_xlpm.lo, _xlpm.t&lt;=_xlpm.hi), 1,
   IF(_xlpm.t&lt;_xlpm.lo, MAX(0, 1 - (_xlpm.lo - _xlpm.t)/(_xlpm.lo*0.5)),
             MAX(0, 1 - (_xlpm.t - _xlpm.hi)/(_xlpm.hi*0.5))
   )
 )
)</f>
        <v>0.4822485237</v>
      </c>
      <c r="G228" s="2">
        <f>LET(
 _xlpm.h,dss_report!$C228, _xlpm.lo,45, _xlpm.hi,70,
 IF(AND(_xlpm.h&gt;=_xlpm.lo, _xlpm.h&lt;=_xlpm.hi), 1,
   IF(_xlpm.h&lt;_xlpm.lo, MAX(0, 1 - (_xlpm.lo - _xlpm.h)/(_xlpm.lo*0.5)),
             MAX(0, 1 - (_xlpm.h - _xlpm.hi)/(_xlpm.hi*0.5))
   )
 )
)</f>
        <v>0.4023535082</v>
      </c>
      <c r="H228" s="2">
        <f t="shared" si="1"/>
        <v>0.4502905175</v>
      </c>
      <c r="I228" s="2" t="b">
        <f>IF(OR(dss_report!$D228=TRUE, H228&lt;0.3), TRUE, FALSE)</f>
        <v>1</v>
      </c>
      <c r="J228" s="2" t="b">
        <f>IF( OR( AND(dss_report!$B228&gt;31, dss_report!$C228&lt;38), H228&lt;0.25 ), TRUE, FALSE)</f>
        <v>1</v>
      </c>
      <c r="K228" s="2">
        <f t="shared" si="2"/>
        <v>1</v>
      </c>
      <c r="L228" s="2">
        <f t="shared" si="3"/>
        <v>0</v>
      </c>
      <c r="M228" s="2">
        <f t="shared" si="4"/>
        <v>0</v>
      </c>
      <c r="N228" s="2">
        <f t="shared" si="5"/>
        <v>0</v>
      </c>
      <c r="O228" s="2">
        <f t="shared" si="6"/>
        <v>1</v>
      </c>
      <c r="P228" s="2">
        <f t="shared" si="7"/>
        <v>1</v>
      </c>
    </row>
    <row r="229" ht="14.25" customHeight="1">
      <c r="A229" s="4">
        <v>45446.364583333336</v>
      </c>
      <c r="B229" s="1">
        <v>35.924681534448155</v>
      </c>
      <c r="C229" s="1">
        <v>26.06340902919287</v>
      </c>
      <c r="D229" s="1" t="b">
        <f>IF(AND(dss_report!$B229&gt;30, dss_report!$C229&lt;40), TRUE, FALSE)</f>
        <v>1</v>
      </c>
      <c r="E229" s="1"/>
      <c r="F229" s="2">
        <f>LET(
 _xlpm.t,dss_report!$B229, _xlpm.lo,18, _xlpm.hi,28,
 IF(AND(_xlpm.t&gt;=_xlpm.lo, _xlpm.t&lt;=_xlpm.hi), 1,
   IF(_xlpm.t&lt;_xlpm.lo, MAX(0, 1 - (_xlpm.lo - _xlpm.t)/(_xlpm.lo*0.5)),
             MAX(0, 1 - (_xlpm.t - _xlpm.hi)/(_xlpm.hi*0.5))
   )
 )
)</f>
        <v>0.433951319</v>
      </c>
      <c r="G229" s="2">
        <f>LET(
 _xlpm.h,dss_report!$C229, _xlpm.lo,45, _xlpm.hi,70,
 IF(AND(_xlpm.h&gt;=_xlpm.lo, _xlpm.h&lt;=_xlpm.hi), 1,
   IF(_xlpm.h&lt;_xlpm.lo, MAX(0, 1 - (_xlpm.lo - _xlpm.h)/(_xlpm.lo*0.5)),
             MAX(0, 1 - (_xlpm.h - _xlpm.hi)/(_xlpm.hi*0.5))
   )
 )
)</f>
        <v>0.1583737346</v>
      </c>
      <c r="H229" s="2">
        <f t="shared" si="1"/>
        <v>0.3237202852</v>
      </c>
      <c r="I229" s="2" t="b">
        <f>IF(OR(dss_report!$D229=TRUE, H229&lt;0.3), TRUE, FALSE)</f>
        <v>1</v>
      </c>
      <c r="J229" s="2" t="b">
        <f>IF( OR( AND(dss_report!$B229&gt;31, dss_report!$C229&lt;38), H229&lt;0.25 ), TRUE, FALSE)</f>
        <v>1</v>
      </c>
      <c r="K229" s="2">
        <f t="shared" si="2"/>
        <v>1</v>
      </c>
      <c r="L229" s="2">
        <f t="shared" si="3"/>
        <v>0</v>
      </c>
      <c r="M229" s="2">
        <f t="shared" si="4"/>
        <v>0</v>
      </c>
      <c r="N229" s="2">
        <f t="shared" si="5"/>
        <v>0</v>
      </c>
      <c r="O229" s="2">
        <f t="shared" si="6"/>
        <v>1</v>
      </c>
      <c r="P229" s="2">
        <f t="shared" si="7"/>
        <v>1</v>
      </c>
    </row>
    <row r="230" ht="14.25" customHeight="1">
      <c r="A230" s="4">
        <v>45446.375</v>
      </c>
      <c r="B230" s="1">
        <v>34.63044146090225</v>
      </c>
      <c r="C230" s="1">
        <v>33.1084537808996</v>
      </c>
      <c r="D230" s="1" t="b">
        <f>IF(AND(dss_report!$B230&gt;30, dss_report!$C230&lt;40), TRUE, FALSE)</f>
        <v>1</v>
      </c>
      <c r="E230" s="1"/>
      <c r="F230" s="2">
        <f>LET(
 _xlpm.t,dss_report!$B230, _xlpm.lo,18, _xlpm.hi,28,
 IF(AND(_xlpm.t&gt;=_xlpm.lo, _xlpm.t&lt;=_xlpm.hi), 1,
   IF(_xlpm.t&lt;_xlpm.lo, MAX(0, 1 - (_xlpm.lo - _xlpm.t)/(_xlpm.lo*0.5)),
             MAX(0, 1 - (_xlpm.t - _xlpm.hi)/(_xlpm.hi*0.5))
   )
 )
)</f>
        <v>0.5263970385</v>
      </c>
      <c r="G230" s="2">
        <f>LET(
 _xlpm.h,dss_report!$C230, _xlpm.lo,45, _xlpm.hi,70,
 IF(AND(_xlpm.h&gt;=_xlpm.lo, _xlpm.h&lt;=_xlpm.hi), 1,
   IF(_xlpm.h&lt;_xlpm.lo, MAX(0, 1 - (_xlpm.lo - _xlpm.h)/(_xlpm.lo*0.5)),
             MAX(0, 1 - (_xlpm.h - _xlpm.hi)/(_xlpm.hi*0.5))
   )
 )
)</f>
        <v>0.4714868347</v>
      </c>
      <c r="H230" s="2">
        <f t="shared" si="1"/>
        <v>0.504432957</v>
      </c>
      <c r="I230" s="2" t="b">
        <f>IF(OR(dss_report!$D230=TRUE, H230&lt;0.3), TRUE, FALSE)</f>
        <v>1</v>
      </c>
      <c r="J230" s="2" t="b">
        <f>IF( OR( AND(dss_report!$B230&gt;31, dss_report!$C230&lt;38), H230&lt;0.25 ), TRUE, FALSE)</f>
        <v>1</v>
      </c>
      <c r="K230" s="2">
        <f t="shared" si="2"/>
        <v>1</v>
      </c>
      <c r="L230" s="2">
        <f t="shared" si="3"/>
        <v>0</v>
      </c>
      <c r="M230" s="2">
        <f t="shared" si="4"/>
        <v>0</v>
      </c>
      <c r="N230" s="2">
        <f t="shared" si="5"/>
        <v>0</v>
      </c>
      <c r="O230" s="2">
        <f t="shared" si="6"/>
        <v>1</v>
      </c>
      <c r="P230" s="2">
        <f t="shared" si="7"/>
        <v>1</v>
      </c>
    </row>
    <row r="231" ht="14.25" customHeight="1">
      <c r="A231" s="4">
        <v>45446.385416666664</v>
      </c>
      <c r="B231" s="1">
        <v>34.635289086120586</v>
      </c>
      <c r="C231" s="1">
        <v>29.20325065681326</v>
      </c>
      <c r="D231" s="1" t="b">
        <f>IF(AND(dss_report!$B231&gt;30, dss_report!$C231&lt;40), TRUE, FALSE)</f>
        <v>1</v>
      </c>
      <c r="E231" s="1"/>
      <c r="F231" s="2">
        <f>LET(
 _xlpm.t,dss_report!$B231, _xlpm.lo,18, _xlpm.hi,28,
 IF(AND(_xlpm.t&gt;=_xlpm.lo, _xlpm.t&lt;=_xlpm.hi), 1,
   IF(_xlpm.t&lt;_xlpm.lo, MAX(0, 1 - (_xlpm.lo - _xlpm.t)/(_xlpm.lo*0.5)),
             MAX(0, 1 - (_xlpm.t - _xlpm.hi)/(_xlpm.hi*0.5))
   )
 )
)</f>
        <v>0.5260507796</v>
      </c>
      <c r="G231" s="2">
        <f>LET(
 _xlpm.h,dss_report!$C231, _xlpm.lo,45, _xlpm.hi,70,
 IF(AND(_xlpm.h&gt;=_xlpm.lo, _xlpm.h&lt;=_xlpm.hi), 1,
   IF(_xlpm.h&lt;_xlpm.lo, MAX(0, 1 - (_xlpm.lo - _xlpm.h)/(_xlpm.lo*0.5)),
             MAX(0, 1 - (_xlpm.h - _xlpm.hi)/(_xlpm.hi*0.5))
   )
 )
)</f>
        <v>0.2979222514</v>
      </c>
      <c r="H231" s="2">
        <f t="shared" si="1"/>
        <v>0.4347993683</v>
      </c>
      <c r="I231" s="2" t="b">
        <f>IF(OR(dss_report!$D231=TRUE, H231&lt;0.3), TRUE, FALSE)</f>
        <v>1</v>
      </c>
      <c r="J231" s="2" t="b">
        <f>IF( OR( AND(dss_report!$B231&gt;31, dss_report!$C231&lt;38), H231&lt;0.25 ), TRUE, FALSE)</f>
        <v>1</v>
      </c>
      <c r="K231" s="2">
        <f t="shared" si="2"/>
        <v>1</v>
      </c>
      <c r="L231" s="2">
        <f t="shared" si="3"/>
        <v>0</v>
      </c>
      <c r="M231" s="2">
        <f t="shared" si="4"/>
        <v>0</v>
      </c>
      <c r="N231" s="2">
        <f t="shared" si="5"/>
        <v>0</v>
      </c>
      <c r="O231" s="2">
        <f t="shared" si="6"/>
        <v>1</v>
      </c>
      <c r="P231" s="2">
        <f t="shared" si="7"/>
        <v>1</v>
      </c>
    </row>
    <row r="232" ht="14.25" customHeight="1">
      <c r="A232" s="4">
        <v>45446.395833333336</v>
      </c>
      <c r="B232" s="1">
        <v>24.63527419438921</v>
      </c>
      <c r="C232" s="1">
        <v>56.12280854330396</v>
      </c>
      <c r="D232" s="1" t="b">
        <f>IF(AND(dss_report!$B232&gt;30, dss_report!$C232&lt;40), TRUE, FALSE)</f>
        <v>0</v>
      </c>
      <c r="E232" s="1"/>
      <c r="F232" s="2">
        <f>LET(
 _xlpm.t,dss_report!$B232, _xlpm.lo,18, _xlpm.hi,28,
 IF(AND(_xlpm.t&gt;=_xlpm.lo, _xlpm.t&lt;=_xlpm.hi), 1,
   IF(_xlpm.t&lt;_xlpm.lo, MAX(0, 1 - (_xlpm.lo - _xlpm.t)/(_xlpm.lo*0.5)),
             MAX(0, 1 - (_xlpm.t - _xlpm.hi)/(_xlpm.hi*0.5))
   )
 )
)</f>
        <v>1</v>
      </c>
      <c r="G232" s="2">
        <f>LET(
 _xlpm.h,dss_report!$C232, _xlpm.lo,45, _xlpm.hi,70,
 IF(AND(_xlpm.h&gt;=_xlpm.lo, _xlpm.h&lt;=_xlpm.hi), 1,
   IF(_xlpm.h&lt;_xlpm.lo, MAX(0, 1 - (_xlpm.lo - _xlpm.h)/(_xlpm.lo*0.5)),
             MAX(0, 1 - (_xlpm.h - _xlpm.hi)/(_xlpm.hi*0.5))
   )
 )
)</f>
        <v>1</v>
      </c>
      <c r="H232" s="2">
        <f t="shared" si="1"/>
        <v>1</v>
      </c>
      <c r="I232" s="2" t="b">
        <f>IF(OR(dss_report!$D232=TRUE, H232&lt;0.3), TRUE, FALSE)</f>
        <v>0</v>
      </c>
      <c r="J232" s="2" t="b">
        <f>IF( OR( AND(dss_report!$B232&gt;31, dss_report!$C232&lt;38), H232&lt;0.25 ), TRUE, FALSE)</f>
        <v>0</v>
      </c>
      <c r="K232" s="2">
        <f t="shared" si="2"/>
        <v>0</v>
      </c>
      <c r="L232" s="2">
        <f t="shared" si="3"/>
        <v>0</v>
      </c>
      <c r="M232" s="2">
        <f t="shared" si="4"/>
        <v>0</v>
      </c>
      <c r="N232" s="2">
        <f t="shared" si="5"/>
        <v>1</v>
      </c>
      <c r="O232" s="2">
        <f t="shared" si="6"/>
        <v>0</v>
      </c>
      <c r="P232" s="2">
        <f t="shared" si="7"/>
        <v>0</v>
      </c>
    </row>
    <row r="233" ht="14.25" customHeight="1">
      <c r="A233" s="4">
        <v>45446.40625</v>
      </c>
      <c r="B233" s="1">
        <v>26.038049408980175</v>
      </c>
      <c r="C233" s="1">
        <v>51.49632889452404</v>
      </c>
      <c r="D233" s="1" t="b">
        <f>IF(AND(dss_report!$B233&gt;30, dss_report!$C233&lt;40), TRUE, FALSE)</f>
        <v>0</v>
      </c>
      <c r="E233" s="1"/>
      <c r="F233" s="2">
        <f>LET(
 _xlpm.t,dss_report!$B233, _xlpm.lo,18, _xlpm.hi,28,
 IF(AND(_xlpm.t&gt;=_xlpm.lo, _xlpm.t&lt;=_xlpm.hi), 1,
   IF(_xlpm.t&lt;_xlpm.lo, MAX(0, 1 - (_xlpm.lo - _xlpm.t)/(_xlpm.lo*0.5)),
             MAX(0, 1 - (_xlpm.t - _xlpm.hi)/(_xlpm.hi*0.5))
   )
 )
)</f>
        <v>1</v>
      </c>
      <c r="G233" s="2">
        <f>LET(
 _xlpm.h,dss_report!$C233, _xlpm.lo,45, _xlpm.hi,70,
 IF(AND(_xlpm.h&gt;=_xlpm.lo, _xlpm.h&lt;=_xlpm.hi), 1,
   IF(_xlpm.h&lt;_xlpm.lo, MAX(0, 1 - (_xlpm.lo - _xlpm.h)/(_xlpm.lo*0.5)),
             MAX(0, 1 - (_xlpm.h - _xlpm.hi)/(_xlpm.hi*0.5))
   )
 )
)</f>
        <v>1</v>
      </c>
      <c r="H233" s="2">
        <f t="shared" si="1"/>
        <v>1</v>
      </c>
      <c r="I233" s="2" t="b">
        <f>IF(OR(dss_report!$D233=TRUE, H233&lt;0.3), TRUE, FALSE)</f>
        <v>0</v>
      </c>
      <c r="J233" s="2" t="b">
        <f>IF( OR( AND(dss_report!$B233&gt;31, dss_report!$C233&lt;38), H233&lt;0.25 ), TRUE, FALSE)</f>
        <v>0</v>
      </c>
      <c r="K233" s="2">
        <f t="shared" si="2"/>
        <v>0</v>
      </c>
      <c r="L233" s="2">
        <f t="shared" si="3"/>
        <v>0</v>
      </c>
      <c r="M233" s="2">
        <f t="shared" si="4"/>
        <v>0</v>
      </c>
      <c r="N233" s="2">
        <f t="shared" si="5"/>
        <v>1</v>
      </c>
      <c r="O233" s="2">
        <f t="shared" si="6"/>
        <v>0</v>
      </c>
      <c r="P233" s="2">
        <f t="shared" si="7"/>
        <v>0</v>
      </c>
    </row>
    <row r="234" ht="14.25" customHeight="1">
      <c r="A234" s="4">
        <v>45446.416666666664</v>
      </c>
      <c r="B234" s="1">
        <v>24.968981480359954</v>
      </c>
      <c r="C234" s="1">
        <v>58.24560583983553</v>
      </c>
      <c r="D234" s="1" t="b">
        <f>IF(AND(dss_report!$B234&gt;30, dss_report!$C234&lt;40), TRUE, FALSE)</f>
        <v>0</v>
      </c>
      <c r="E234" s="1"/>
      <c r="F234" s="2">
        <f>LET(
 _xlpm.t,dss_report!$B234, _xlpm.lo,18, _xlpm.hi,28,
 IF(AND(_xlpm.t&gt;=_xlpm.lo, _xlpm.t&lt;=_xlpm.hi), 1,
   IF(_xlpm.t&lt;_xlpm.lo, MAX(0, 1 - (_xlpm.lo - _xlpm.t)/(_xlpm.lo*0.5)),
             MAX(0, 1 - (_xlpm.t - _xlpm.hi)/(_xlpm.hi*0.5))
   )
 )
)</f>
        <v>1</v>
      </c>
      <c r="G234" s="2">
        <f>LET(
 _xlpm.h,dss_report!$C234, _xlpm.lo,45, _xlpm.hi,70,
 IF(AND(_xlpm.h&gt;=_xlpm.lo, _xlpm.h&lt;=_xlpm.hi), 1,
   IF(_xlpm.h&lt;_xlpm.lo, MAX(0, 1 - (_xlpm.lo - _xlpm.h)/(_xlpm.lo*0.5)),
             MAX(0, 1 - (_xlpm.h - _xlpm.hi)/(_xlpm.hi*0.5))
   )
 )
)</f>
        <v>1</v>
      </c>
      <c r="H234" s="2">
        <f t="shared" si="1"/>
        <v>1</v>
      </c>
      <c r="I234" s="2" t="b">
        <f>IF(OR(dss_report!$D234=TRUE, H234&lt;0.3), TRUE, FALSE)</f>
        <v>0</v>
      </c>
      <c r="J234" s="2" t="b">
        <f>IF( OR( AND(dss_report!$B234&gt;31, dss_report!$C234&lt;38), H234&lt;0.25 ), TRUE, FALSE)</f>
        <v>0</v>
      </c>
      <c r="K234" s="2">
        <f t="shared" si="2"/>
        <v>0</v>
      </c>
      <c r="L234" s="2">
        <f t="shared" si="3"/>
        <v>0</v>
      </c>
      <c r="M234" s="2">
        <f t="shared" si="4"/>
        <v>0</v>
      </c>
      <c r="N234" s="2">
        <f t="shared" si="5"/>
        <v>1</v>
      </c>
      <c r="O234" s="2">
        <f t="shared" si="6"/>
        <v>0</v>
      </c>
      <c r="P234" s="2">
        <f t="shared" si="7"/>
        <v>0</v>
      </c>
    </row>
    <row r="235" ht="14.25" customHeight="1">
      <c r="A235" s="4">
        <v>45446.427083333336</v>
      </c>
      <c r="B235" s="1">
        <v>24.22846068151503</v>
      </c>
      <c r="C235" s="1">
        <v>52.51558972621081</v>
      </c>
      <c r="D235" s="1" t="b">
        <f>IF(AND(dss_report!$B235&gt;30, dss_report!$C235&lt;40), TRUE, FALSE)</f>
        <v>0</v>
      </c>
      <c r="E235" s="1"/>
      <c r="F235" s="2">
        <f>LET(
 _xlpm.t,dss_report!$B235, _xlpm.lo,18, _xlpm.hi,28,
 IF(AND(_xlpm.t&gt;=_xlpm.lo, _xlpm.t&lt;=_xlpm.hi), 1,
   IF(_xlpm.t&lt;_xlpm.lo, MAX(0, 1 - (_xlpm.lo - _xlpm.t)/(_xlpm.lo*0.5)),
             MAX(0, 1 - (_xlpm.t - _xlpm.hi)/(_xlpm.hi*0.5))
   )
 )
)</f>
        <v>1</v>
      </c>
      <c r="G235" s="2">
        <f>LET(
 _xlpm.h,dss_report!$C235, _xlpm.lo,45, _xlpm.hi,70,
 IF(AND(_xlpm.h&gt;=_xlpm.lo, _xlpm.h&lt;=_xlpm.hi), 1,
   IF(_xlpm.h&lt;_xlpm.lo, MAX(0, 1 - (_xlpm.lo - _xlpm.h)/(_xlpm.lo*0.5)),
             MAX(0, 1 - (_xlpm.h - _xlpm.hi)/(_xlpm.hi*0.5))
   )
 )
)</f>
        <v>1</v>
      </c>
      <c r="H235" s="2">
        <f t="shared" si="1"/>
        <v>1</v>
      </c>
      <c r="I235" s="2" t="b">
        <f>IF(OR(dss_report!$D235=TRUE, H235&lt;0.3), TRUE, FALSE)</f>
        <v>0</v>
      </c>
      <c r="J235" s="2" t="b">
        <f>IF( OR( AND(dss_report!$B235&gt;31, dss_report!$C235&lt;38), H235&lt;0.25 ), TRUE, FALSE)</f>
        <v>0</v>
      </c>
      <c r="K235" s="2">
        <f t="shared" si="2"/>
        <v>0</v>
      </c>
      <c r="L235" s="2">
        <f t="shared" si="3"/>
        <v>0</v>
      </c>
      <c r="M235" s="2">
        <f t="shared" si="4"/>
        <v>0</v>
      </c>
      <c r="N235" s="2">
        <f t="shared" si="5"/>
        <v>1</v>
      </c>
      <c r="O235" s="2">
        <f t="shared" si="6"/>
        <v>0</v>
      </c>
      <c r="P235" s="2">
        <f t="shared" si="7"/>
        <v>0</v>
      </c>
    </row>
    <row r="236" ht="14.25" customHeight="1">
      <c r="A236" s="4">
        <v>45446.4375</v>
      </c>
      <c r="B236" s="1">
        <v>24.582448222024432</v>
      </c>
      <c r="C236" s="1">
        <v>51.16913272375922</v>
      </c>
      <c r="D236" s="1" t="b">
        <f>IF(AND(dss_report!$B236&gt;30, dss_report!$C236&lt;40), TRUE, FALSE)</f>
        <v>0</v>
      </c>
      <c r="E236" s="1"/>
      <c r="F236" s="2">
        <f>LET(
 _xlpm.t,dss_report!$B236, _xlpm.lo,18, _xlpm.hi,28,
 IF(AND(_xlpm.t&gt;=_xlpm.lo, _xlpm.t&lt;=_xlpm.hi), 1,
   IF(_xlpm.t&lt;_xlpm.lo, MAX(0, 1 - (_xlpm.lo - _xlpm.t)/(_xlpm.lo*0.5)),
             MAX(0, 1 - (_xlpm.t - _xlpm.hi)/(_xlpm.hi*0.5))
   )
 )
)</f>
        <v>1</v>
      </c>
      <c r="G236" s="2">
        <f>LET(
 _xlpm.h,dss_report!$C236, _xlpm.lo,45, _xlpm.hi,70,
 IF(AND(_xlpm.h&gt;=_xlpm.lo, _xlpm.h&lt;=_xlpm.hi), 1,
   IF(_xlpm.h&lt;_xlpm.lo, MAX(0, 1 - (_xlpm.lo - _xlpm.h)/(_xlpm.lo*0.5)),
             MAX(0, 1 - (_xlpm.h - _xlpm.hi)/(_xlpm.hi*0.5))
   )
 )
)</f>
        <v>1</v>
      </c>
      <c r="H236" s="2">
        <f t="shared" si="1"/>
        <v>1</v>
      </c>
      <c r="I236" s="2" t="b">
        <f>IF(OR(dss_report!$D236=TRUE, H236&lt;0.3), TRUE, FALSE)</f>
        <v>0</v>
      </c>
      <c r="J236" s="2" t="b">
        <f>IF( OR( AND(dss_report!$B236&gt;31, dss_report!$C236&lt;38), H236&lt;0.25 ), TRUE, FALSE)</f>
        <v>0</v>
      </c>
      <c r="K236" s="2">
        <f t="shared" si="2"/>
        <v>0</v>
      </c>
      <c r="L236" s="2">
        <f t="shared" si="3"/>
        <v>0</v>
      </c>
      <c r="M236" s="2">
        <f t="shared" si="4"/>
        <v>0</v>
      </c>
      <c r="N236" s="2">
        <f t="shared" si="5"/>
        <v>1</v>
      </c>
      <c r="O236" s="2">
        <f t="shared" si="6"/>
        <v>0</v>
      </c>
      <c r="P236" s="2">
        <f t="shared" si="7"/>
        <v>0</v>
      </c>
    </row>
    <row r="237" ht="14.25" customHeight="1">
      <c r="A237" s="4">
        <v>45446.447916666664</v>
      </c>
      <c r="B237" s="1">
        <v>24.30961093482918</v>
      </c>
      <c r="C237" s="1">
        <v>56.76750709660836</v>
      </c>
      <c r="D237" s="1" t="b">
        <f>IF(AND(dss_report!$B237&gt;30, dss_report!$C237&lt;40), TRUE, FALSE)</f>
        <v>0</v>
      </c>
      <c r="E237" s="1"/>
      <c r="F237" s="2">
        <f>LET(
 _xlpm.t,dss_report!$B237, _xlpm.lo,18, _xlpm.hi,28,
 IF(AND(_xlpm.t&gt;=_xlpm.lo, _xlpm.t&lt;=_xlpm.hi), 1,
   IF(_xlpm.t&lt;_xlpm.lo, MAX(0, 1 - (_xlpm.lo - _xlpm.t)/(_xlpm.lo*0.5)),
             MAX(0, 1 - (_xlpm.t - _xlpm.hi)/(_xlpm.hi*0.5))
   )
 )
)</f>
        <v>1</v>
      </c>
      <c r="G237" s="2">
        <f>LET(
 _xlpm.h,dss_report!$C237, _xlpm.lo,45, _xlpm.hi,70,
 IF(AND(_xlpm.h&gt;=_xlpm.lo, _xlpm.h&lt;=_xlpm.hi), 1,
   IF(_xlpm.h&lt;_xlpm.lo, MAX(0, 1 - (_xlpm.lo - _xlpm.h)/(_xlpm.lo*0.5)),
             MAX(0, 1 - (_xlpm.h - _xlpm.hi)/(_xlpm.hi*0.5))
   )
 )
)</f>
        <v>1</v>
      </c>
      <c r="H237" s="2">
        <f t="shared" si="1"/>
        <v>1</v>
      </c>
      <c r="I237" s="2" t="b">
        <f>IF(OR(dss_report!$D237=TRUE, H237&lt;0.3), TRUE, FALSE)</f>
        <v>0</v>
      </c>
      <c r="J237" s="2" t="b">
        <f>IF( OR( AND(dss_report!$B237&gt;31, dss_report!$C237&lt;38), H237&lt;0.25 ), TRUE, FALSE)</f>
        <v>0</v>
      </c>
      <c r="K237" s="2">
        <f t="shared" si="2"/>
        <v>0</v>
      </c>
      <c r="L237" s="2">
        <f t="shared" si="3"/>
        <v>0</v>
      </c>
      <c r="M237" s="2">
        <f t="shared" si="4"/>
        <v>0</v>
      </c>
      <c r="N237" s="2">
        <f t="shared" si="5"/>
        <v>1</v>
      </c>
      <c r="O237" s="2">
        <f t="shared" si="6"/>
        <v>0</v>
      </c>
      <c r="P237" s="2">
        <f t="shared" si="7"/>
        <v>0</v>
      </c>
    </row>
    <row r="238" ht="14.25" customHeight="1">
      <c r="A238" s="4">
        <v>45446.458333333336</v>
      </c>
      <c r="B238" s="1">
        <v>25.040925053594076</v>
      </c>
      <c r="C238" s="1">
        <v>57.50802436559725</v>
      </c>
      <c r="D238" s="1" t="b">
        <f>IF(AND(dss_report!$B238&gt;30, dss_report!$C238&lt;40), TRUE, FALSE)</f>
        <v>0</v>
      </c>
      <c r="E238" s="1"/>
      <c r="F238" s="2">
        <f>LET(
 _xlpm.t,dss_report!$B238, _xlpm.lo,18, _xlpm.hi,28,
 IF(AND(_xlpm.t&gt;=_xlpm.lo, _xlpm.t&lt;=_xlpm.hi), 1,
   IF(_xlpm.t&lt;_xlpm.lo, MAX(0, 1 - (_xlpm.lo - _xlpm.t)/(_xlpm.lo*0.5)),
             MAX(0, 1 - (_xlpm.t - _xlpm.hi)/(_xlpm.hi*0.5))
   )
 )
)</f>
        <v>1</v>
      </c>
      <c r="G238" s="2">
        <f>LET(
 _xlpm.h,dss_report!$C238, _xlpm.lo,45, _xlpm.hi,70,
 IF(AND(_xlpm.h&gt;=_xlpm.lo, _xlpm.h&lt;=_xlpm.hi), 1,
   IF(_xlpm.h&lt;_xlpm.lo, MAX(0, 1 - (_xlpm.lo - _xlpm.h)/(_xlpm.lo*0.5)),
             MAX(0, 1 - (_xlpm.h - _xlpm.hi)/(_xlpm.hi*0.5))
   )
 )
)</f>
        <v>1</v>
      </c>
      <c r="H238" s="2">
        <f t="shared" si="1"/>
        <v>1</v>
      </c>
      <c r="I238" s="2" t="b">
        <f>IF(OR(dss_report!$D238=TRUE, H238&lt;0.3), TRUE, FALSE)</f>
        <v>0</v>
      </c>
      <c r="J238" s="2" t="b">
        <f>IF( OR( AND(dss_report!$B238&gt;31, dss_report!$C238&lt;38), H238&lt;0.25 ), TRUE, FALSE)</f>
        <v>0</v>
      </c>
      <c r="K238" s="2">
        <f t="shared" si="2"/>
        <v>0</v>
      </c>
      <c r="L238" s="2">
        <f t="shared" si="3"/>
        <v>0</v>
      </c>
      <c r="M238" s="2">
        <f t="shared" si="4"/>
        <v>0</v>
      </c>
      <c r="N238" s="2">
        <f t="shared" si="5"/>
        <v>1</v>
      </c>
      <c r="O238" s="2">
        <f t="shared" si="6"/>
        <v>0</v>
      </c>
      <c r="P238" s="2">
        <f t="shared" si="7"/>
        <v>0</v>
      </c>
    </row>
    <row r="239" ht="14.25" customHeight="1">
      <c r="A239" s="4">
        <v>45446.46875</v>
      </c>
      <c r="B239" s="1">
        <v>24.6950940050484</v>
      </c>
      <c r="C239" s="1">
        <v>51.633419713381805</v>
      </c>
      <c r="D239" s="1" t="b">
        <f>IF(AND(dss_report!$B239&gt;30, dss_report!$C239&lt;40), TRUE, FALSE)</f>
        <v>0</v>
      </c>
      <c r="E239" s="1"/>
      <c r="F239" s="2">
        <f>LET(
 _xlpm.t,dss_report!$B239, _xlpm.lo,18, _xlpm.hi,28,
 IF(AND(_xlpm.t&gt;=_xlpm.lo, _xlpm.t&lt;=_xlpm.hi), 1,
   IF(_xlpm.t&lt;_xlpm.lo, MAX(0, 1 - (_xlpm.lo - _xlpm.t)/(_xlpm.lo*0.5)),
             MAX(0, 1 - (_xlpm.t - _xlpm.hi)/(_xlpm.hi*0.5))
   )
 )
)</f>
        <v>1</v>
      </c>
      <c r="G239" s="2">
        <f>LET(
 _xlpm.h,dss_report!$C239, _xlpm.lo,45, _xlpm.hi,70,
 IF(AND(_xlpm.h&gt;=_xlpm.lo, _xlpm.h&lt;=_xlpm.hi), 1,
   IF(_xlpm.h&lt;_xlpm.lo, MAX(0, 1 - (_xlpm.lo - _xlpm.h)/(_xlpm.lo*0.5)),
             MAX(0, 1 - (_xlpm.h - _xlpm.hi)/(_xlpm.hi*0.5))
   )
 )
)</f>
        <v>1</v>
      </c>
      <c r="H239" s="2">
        <f t="shared" si="1"/>
        <v>1</v>
      </c>
      <c r="I239" s="2" t="b">
        <f>IF(OR(dss_report!$D239=TRUE, H239&lt;0.3), TRUE, FALSE)</f>
        <v>0</v>
      </c>
      <c r="J239" s="2" t="b">
        <f>IF( OR( AND(dss_report!$B239&gt;31, dss_report!$C239&lt;38), H239&lt;0.25 ), TRUE, FALSE)</f>
        <v>0</v>
      </c>
      <c r="K239" s="2">
        <f t="shared" si="2"/>
        <v>0</v>
      </c>
      <c r="L239" s="2">
        <f t="shared" si="3"/>
        <v>0</v>
      </c>
      <c r="M239" s="2">
        <f t="shared" si="4"/>
        <v>0</v>
      </c>
      <c r="N239" s="2">
        <f t="shared" si="5"/>
        <v>1</v>
      </c>
      <c r="O239" s="2">
        <f t="shared" si="6"/>
        <v>0</v>
      </c>
      <c r="P239" s="2">
        <f t="shared" si="7"/>
        <v>0</v>
      </c>
    </row>
    <row r="240" ht="14.25" customHeight="1">
      <c r="A240" s="4">
        <v>45446.479166666664</v>
      </c>
      <c r="B240" s="1">
        <v>24.024191203874427</v>
      </c>
      <c r="C240" s="1">
        <v>51.57848053105894</v>
      </c>
      <c r="D240" s="1" t="b">
        <f>IF(AND(dss_report!$B240&gt;30, dss_report!$C240&lt;40), TRUE, FALSE)</f>
        <v>0</v>
      </c>
      <c r="E240" s="1"/>
      <c r="F240" s="2">
        <f>LET(
 _xlpm.t,dss_report!$B240, _xlpm.lo,18, _xlpm.hi,28,
 IF(AND(_xlpm.t&gt;=_xlpm.lo, _xlpm.t&lt;=_xlpm.hi), 1,
   IF(_xlpm.t&lt;_xlpm.lo, MAX(0, 1 - (_xlpm.lo - _xlpm.t)/(_xlpm.lo*0.5)),
             MAX(0, 1 - (_xlpm.t - _xlpm.hi)/(_xlpm.hi*0.5))
   )
 )
)</f>
        <v>1</v>
      </c>
      <c r="G240" s="2">
        <f>LET(
 _xlpm.h,dss_report!$C240, _xlpm.lo,45, _xlpm.hi,70,
 IF(AND(_xlpm.h&gt;=_xlpm.lo, _xlpm.h&lt;=_xlpm.hi), 1,
   IF(_xlpm.h&lt;_xlpm.lo, MAX(0, 1 - (_xlpm.lo - _xlpm.h)/(_xlpm.lo*0.5)),
             MAX(0, 1 - (_xlpm.h - _xlpm.hi)/(_xlpm.hi*0.5))
   )
 )
)</f>
        <v>1</v>
      </c>
      <c r="H240" s="2">
        <f t="shared" si="1"/>
        <v>1</v>
      </c>
      <c r="I240" s="2" t="b">
        <f>IF(OR(dss_report!$D240=TRUE, H240&lt;0.3), TRUE, FALSE)</f>
        <v>0</v>
      </c>
      <c r="J240" s="2" t="b">
        <f>IF( OR( AND(dss_report!$B240&gt;31, dss_report!$C240&lt;38), H240&lt;0.25 ), TRUE, FALSE)</f>
        <v>0</v>
      </c>
      <c r="K240" s="2">
        <f t="shared" si="2"/>
        <v>0</v>
      </c>
      <c r="L240" s="2">
        <f t="shared" si="3"/>
        <v>0</v>
      </c>
      <c r="M240" s="2">
        <f t="shared" si="4"/>
        <v>0</v>
      </c>
      <c r="N240" s="2">
        <f t="shared" si="5"/>
        <v>1</v>
      </c>
      <c r="O240" s="2">
        <f t="shared" si="6"/>
        <v>0</v>
      </c>
      <c r="P240" s="2">
        <f t="shared" si="7"/>
        <v>0</v>
      </c>
    </row>
    <row r="241" ht="14.25" customHeight="1">
      <c r="A241" s="4">
        <v>45446.489583333336</v>
      </c>
      <c r="B241" s="1">
        <v>23.59724684314738</v>
      </c>
      <c r="C241" s="1">
        <v>58.79161338196168</v>
      </c>
      <c r="D241" s="1" t="b">
        <f>IF(AND(dss_report!$B241&gt;30, dss_report!$C241&lt;40), TRUE, FALSE)</f>
        <v>0</v>
      </c>
      <c r="E241" s="1"/>
      <c r="F241" s="2">
        <f>LET(
 _xlpm.t,dss_report!$B241, _xlpm.lo,18, _xlpm.hi,28,
 IF(AND(_xlpm.t&gt;=_xlpm.lo, _xlpm.t&lt;=_xlpm.hi), 1,
   IF(_xlpm.t&lt;_xlpm.lo, MAX(0, 1 - (_xlpm.lo - _xlpm.t)/(_xlpm.lo*0.5)),
             MAX(0, 1 - (_xlpm.t - _xlpm.hi)/(_xlpm.hi*0.5))
   )
 )
)</f>
        <v>1</v>
      </c>
      <c r="G241" s="2">
        <f>LET(
 _xlpm.h,dss_report!$C241, _xlpm.lo,45, _xlpm.hi,70,
 IF(AND(_xlpm.h&gt;=_xlpm.lo, _xlpm.h&lt;=_xlpm.hi), 1,
   IF(_xlpm.h&lt;_xlpm.lo, MAX(0, 1 - (_xlpm.lo - _xlpm.h)/(_xlpm.lo*0.5)),
             MAX(0, 1 - (_xlpm.h - _xlpm.hi)/(_xlpm.hi*0.5))
   )
 )
)</f>
        <v>1</v>
      </c>
      <c r="H241" s="2">
        <f t="shared" si="1"/>
        <v>1</v>
      </c>
      <c r="I241" s="2" t="b">
        <f>IF(OR(dss_report!$D241=TRUE, H241&lt;0.3), TRUE, FALSE)</f>
        <v>0</v>
      </c>
      <c r="J241" s="2" t="b">
        <f>IF( OR( AND(dss_report!$B241&gt;31, dss_report!$C241&lt;38), H241&lt;0.25 ), TRUE, FALSE)</f>
        <v>0</v>
      </c>
      <c r="K241" s="2">
        <f t="shared" si="2"/>
        <v>0</v>
      </c>
      <c r="L241" s="2">
        <f t="shared" si="3"/>
        <v>0</v>
      </c>
      <c r="M241" s="2">
        <f t="shared" si="4"/>
        <v>0</v>
      </c>
      <c r="N241" s="2">
        <f t="shared" si="5"/>
        <v>1</v>
      </c>
      <c r="O241" s="2">
        <f t="shared" si="6"/>
        <v>0</v>
      </c>
      <c r="P241" s="2">
        <f t="shared" si="7"/>
        <v>0</v>
      </c>
    </row>
    <row r="242" ht="14.25" customHeight="1">
      <c r="A242" s="4">
        <v>45446.5</v>
      </c>
      <c r="B242" s="1">
        <v>23.867811831694773</v>
      </c>
      <c r="C242" s="1">
        <v>52.553161978622406</v>
      </c>
      <c r="D242" s="1" t="b">
        <f>IF(AND(dss_report!$B242&gt;30, dss_report!$C242&lt;40), TRUE, FALSE)</f>
        <v>0</v>
      </c>
      <c r="E242" s="1"/>
      <c r="F242" s="2">
        <f>LET(
 _xlpm.t,dss_report!$B242, _xlpm.lo,18, _xlpm.hi,28,
 IF(AND(_xlpm.t&gt;=_xlpm.lo, _xlpm.t&lt;=_xlpm.hi), 1,
   IF(_xlpm.t&lt;_xlpm.lo, MAX(0, 1 - (_xlpm.lo - _xlpm.t)/(_xlpm.lo*0.5)),
             MAX(0, 1 - (_xlpm.t - _xlpm.hi)/(_xlpm.hi*0.5))
   )
 )
)</f>
        <v>1</v>
      </c>
      <c r="G242" s="2">
        <f>LET(
 _xlpm.h,dss_report!$C242, _xlpm.lo,45, _xlpm.hi,70,
 IF(AND(_xlpm.h&gt;=_xlpm.lo, _xlpm.h&lt;=_xlpm.hi), 1,
   IF(_xlpm.h&lt;_xlpm.lo, MAX(0, 1 - (_xlpm.lo - _xlpm.h)/(_xlpm.lo*0.5)),
             MAX(0, 1 - (_xlpm.h - _xlpm.hi)/(_xlpm.hi*0.5))
   )
 )
)</f>
        <v>1</v>
      </c>
      <c r="H242" s="2">
        <f t="shared" si="1"/>
        <v>1</v>
      </c>
      <c r="I242" s="2" t="b">
        <f>IF(OR(dss_report!$D242=TRUE, H242&lt;0.3), TRUE, FALSE)</f>
        <v>0</v>
      </c>
      <c r="J242" s="2" t="b">
        <f>IF( OR( AND(dss_report!$B242&gt;31, dss_report!$C242&lt;38), H242&lt;0.25 ), TRUE, FALSE)</f>
        <v>0</v>
      </c>
      <c r="K242" s="2">
        <f t="shared" si="2"/>
        <v>0</v>
      </c>
      <c r="L242" s="2">
        <f t="shared" si="3"/>
        <v>0</v>
      </c>
      <c r="M242" s="2">
        <f t="shared" si="4"/>
        <v>0</v>
      </c>
      <c r="N242" s="2">
        <f t="shared" si="5"/>
        <v>1</v>
      </c>
      <c r="O242" s="2">
        <f t="shared" si="6"/>
        <v>0</v>
      </c>
      <c r="P242" s="2">
        <f t="shared" si="7"/>
        <v>0</v>
      </c>
    </row>
    <row r="243" ht="14.25" customHeight="1">
      <c r="A243" s="4">
        <v>45446.510416666664</v>
      </c>
      <c r="B243" s="1">
        <v>24.675818423827735</v>
      </c>
      <c r="C243" s="1">
        <v>48.11764282515478</v>
      </c>
      <c r="D243" s="1" t="b">
        <f>IF(AND(dss_report!$B243&gt;30, dss_report!$C243&lt;40), TRUE, FALSE)</f>
        <v>0</v>
      </c>
      <c r="E243" s="1"/>
      <c r="F243" s="2">
        <f>LET(
 _xlpm.t,dss_report!$B243, _xlpm.lo,18, _xlpm.hi,28,
 IF(AND(_xlpm.t&gt;=_xlpm.lo, _xlpm.t&lt;=_xlpm.hi), 1,
   IF(_xlpm.t&lt;_xlpm.lo, MAX(0, 1 - (_xlpm.lo - _xlpm.t)/(_xlpm.lo*0.5)),
             MAX(0, 1 - (_xlpm.t - _xlpm.hi)/(_xlpm.hi*0.5))
   )
 )
)</f>
        <v>1</v>
      </c>
      <c r="G243" s="2">
        <f>LET(
 _xlpm.h,dss_report!$C243, _xlpm.lo,45, _xlpm.hi,70,
 IF(AND(_xlpm.h&gt;=_xlpm.lo, _xlpm.h&lt;=_xlpm.hi), 1,
   IF(_xlpm.h&lt;_xlpm.lo, MAX(0, 1 - (_xlpm.lo - _xlpm.h)/(_xlpm.lo*0.5)),
             MAX(0, 1 - (_xlpm.h - _xlpm.hi)/(_xlpm.hi*0.5))
   )
 )
)</f>
        <v>1</v>
      </c>
      <c r="H243" s="2">
        <f t="shared" si="1"/>
        <v>1</v>
      </c>
      <c r="I243" s="2" t="b">
        <f>IF(OR(dss_report!$D243=TRUE, H243&lt;0.3), TRUE, FALSE)</f>
        <v>0</v>
      </c>
      <c r="J243" s="2" t="b">
        <f>IF( OR( AND(dss_report!$B243&gt;31, dss_report!$C243&lt;38), H243&lt;0.25 ), TRUE, FALSE)</f>
        <v>0</v>
      </c>
      <c r="K243" s="2">
        <f t="shared" si="2"/>
        <v>0</v>
      </c>
      <c r="L243" s="2">
        <f t="shared" si="3"/>
        <v>0</v>
      </c>
      <c r="M243" s="2">
        <f t="shared" si="4"/>
        <v>0</v>
      </c>
      <c r="N243" s="2">
        <f t="shared" si="5"/>
        <v>1</v>
      </c>
      <c r="O243" s="2">
        <f t="shared" si="6"/>
        <v>0</v>
      </c>
      <c r="P243" s="2">
        <f t="shared" si="7"/>
        <v>0</v>
      </c>
    </row>
    <row r="244" ht="14.25" customHeight="1">
      <c r="A244" s="4">
        <v>45446.520833333336</v>
      </c>
      <c r="B244" s="1">
        <v>23.835602223071753</v>
      </c>
      <c r="C244" s="1">
        <v>50.61698421323084</v>
      </c>
      <c r="D244" s="1" t="b">
        <f>IF(AND(dss_report!$B244&gt;30, dss_report!$C244&lt;40), TRUE, FALSE)</f>
        <v>0</v>
      </c>
      <c r="E244" s="1"/>
      <c r="F244" s="2">
        <f>LET(
 _xlpm.t,dss_report!$B244, _xlpm.lo,18, _xlpm.hi,28,
 IF(AND(_xlpm.t&gt;=_xlpm.lo, _xlpm.t&lt;=_xlpm.hi), 1,
   IF(_xlpm.t&lt;_xlpm.lo, MAX(0, 1 - (_xlpm.lo - _xlpm.t)/(_xlpm.lo*0.5)),
             MAX(0, 1 - (_xlpm.t - _xlpm.hi)/(_xlpm.hi*0.5))
   )
 )
)</f>
        <v>1</v>
      </c>
      <c r="G244" s="2">
        <f>LET(
 _xlpm.h,dss_report!$C244, _xlpm.lo,45, _xlpm.hi,70,
 IF(AND(_xlpm.h&gt;=_xlpm.lo, _xlpm.h&lt;=_xlpm.hi), 1,
   IF(_xlpm.h&lt;_xlpm.lo, MAX(0, 1 - (_xlpm.lo - _xlpm.h)/(_xlpm.lo*0.5)),
             MAX(0, 1 - (_xlpm.h - _xlpm.hi)/(_xlpm.hi*0.5))
   )
 )
)</f>
        <v>1</v>
      </c>
      <c r="H244" s="2">
        <f t="shared" si="1"/>
        <v>1</v>
      </c>
      <c r="I244" s="2" t="b">
        <f>IF(OR(dss_report!$D244=TRUE, H244&lt;0.3), TRUE, FALSE)</f>
        <v>0</v>
      </c>
      <c r="J244" s="2" t="b">
        <f>IF( OR( AND(dss_report!$B244&gt;31, dss_report!$C244&lt;38), H244&lt;0.25 ), TRUE, FALSE)</f>
        <v>0</v>
      </c>
      <c r="K244" s="2">
        <f t="shared" si="2"/>
        <v>0</v>
      </c>
      <c r="L244" s="2">
        <f t="shared" si="3"/>
        <v>0</v>
      </c>
      <c r="M244" s="2">
        <f t="shared" si="4"/>
        <v>0</v>
      </c>
      <c r="N244" s="2">
        <f t="shared" si="5"/>
        <v>1</v>
      </c>
      <c r="O244" s="2">
        <f t="shared" si="6"/>
        <v>0</v>
      </c>
      <c r="P244" s="2">
        <f t="shared" si="7"/>
        <v>0</v>
      </c>
    </row>
    <row r="245" ht="14.25" customHeight="1">
      <c r="A245" s="4">
        <v>45446.53125</v>
      </c>
      <c r="B245" s="1">
        <v>23.882253902431813</v>
      </c>
      <c r="C245" s="1">
        <v>55.59969541446479</v>
      </c>
      <c r="D245" s="1" t="b">
        <f>IF(AND(dss_report!$B245&gt;30, dss_report!$C245&lt;40), TRUE, FALSE)</f>
        <v>0</v>
      </c>
      <c r="E245" s="1"/>
      <c r="F245" s="2">
        <f>LET(
 _xlpm.t,dss_report!$B245, _xlpm.lo,18, _xlpm.hi,28,
 IF(AND(_xlpm.t&gt;=_xlpm.lo, _xlpm.t&lt;=_xlpm.hi), 1,
   IF(_xlpm.t&lt;_xlpm.lo, MAX(0, 1 - (_xlpm.lo - _xlpm.t)/(_xlpm.lo*0.5)),
             MAX(0, 1 - (_xlpm.t - _xlpm.hi)/(_xlpm.hi*0.5))
   )
 )
)</f>
        <v>1</v>
      </c>
      <c r="G245" s="2">
        <f>LET(
 _xlpm.h,dss_report!$C245, _xlpm.lo,45, _xlpm.hi,70,
 IF(AND(_xlpm.h&gt;=_xlpm.lo, _xlpm.h&lt;=_xlpm.hi), 1,
   IF(_xlpm.h&lt;_xlpm.lo, MAX(0, 1 - (_xlpm.lo - _xlpm.h)/(_xlpm.lo*0.5)),
             MAX(0, 1 - (_xlpm.h - _xlpm.hi)/(_xlpm.hi*0.5))
   )
 )
)</f>
        <v>1</v>
      </c>
      <c r="H245" s="2">
        <f t="shared" si="1"/>
        <v>1</v>
      </c>
      <c r="I245" s="2" t="b">
        <f>IF(OR(dss_report!$D245=TRUE, H245&lt;0.3), TRUE, FALSE)</f>
        <v>0</v>
      </c>
      <c r="J245" s="2" t="b">
        <f>IF( OR( AND(dss_report!$B245&gt;31, dss_report!$C245&lt;38), H245&lt;0.25 ), TRUE, FALSE)</f>
        <v>0</v>
      </c>
      <c r="K245" s="2">
        <f t="shared" si="2"/>
        <v>0</v>
      </c>
      <c r="L245" s="2">
        <f t="shared" si="3"/>
        <v>0</v>
      </c>
      <c r="M245" s="2">
        <f t="shared" si="4"/>
        <v>0</v>
      </c>
      <c r="N245" s="2">
        <f t="shared" si="5"/>
        <v>1</v>
      </c>
      <c r="O245" s="2">
        <f t="shared" si="6"/>
        <v>0</v>
      </c>
      <c r="P245" s="2">
        <f t="shared" si="7"/>
        <v>0</v>
      </c>
    </row>
    <row r="246" ht="14.25" customHeight="1">
      <c r="A246" s="4">
        <v>45446.541666666664</v>
      </c>
      <c r="B246" s="1">
        <v>23.174098484686144</v>
      </c>
      <c r="C246" s="1">
        <v>52.66605968338583</v>
      </c>
      <c r="D246" s="1" t="b">
        <f>IF(AND(dss_report!$B246&gt;30, dss_report!$C246&lt;40), TRUE, FALSE)</f>
        <v>0</v>
      </c>
      <c r="E246" s="1"/>
      <c r="F246" s="2">
        <f>LET(
 _xlpm.t,dss_report!$B246, _xlpm.lo,18, _xlpm.hi,28,
 IF(AND(_xlpm.t&gt;=_xlpm.lo, _xlpm.t&lt;=_xlpm.hi), 1,
   IF(_xlpm.t&lt;_xlpm.lo, MAX(0, 1 - (_xlpm.lo - _xlpm.t)/(_xlpm.lo*0.5)),
             MAX(0, 1 - (_xlpm.t - _xlpm.hi)/(_xlpm.hi*0.5))
   )
 )
)</f>
        <v>1</v>
      </c>
      <c r="G246" s="2">
        <f>LET(
 _xlpm.h,dss_report!$C246, _xlpm.lo,45, _xlpm.hi,70,
 IF(AND(_xlpm.h&gt;=_xlpm.lo, _xlpm.h&lt;=_xlpm.hi), 1,
   IF(_xlpm.h&lt;_xlpm.lo, MAX(0, 1 - (_xlpm.lo - _xlpm.h)/(_xlpm.lo*0.5)),
             MAX(0, 1 - (_xlpm.h - _xlpm.hi)/(_xlpm.hi*0.5))
   )
 )
)</f>
        <v>1</v>
      </c>
      <c r="H246" s="2">
        <f t="shared" si="1"/>
        <v>1</v>
      </c>
      <c r="I246" s="2" t="b">
        <f>IF(OR(dss_report!$D246=TRUE, H246&lt;0.3), TRUE, FALSE)</f>
        <v>0</v>
      </c>
      <c r="J246" s="2" t="b">
        <f>IF( OR( AND(dss_report!$B246&gt;31, dss_report!$C246&lt;38), H246&lt;0.25 ), TRUE, FALSE)</f>
        <v>0</v>
      </c>
      <c r="K246" s="2">
        <f t="shared" si="2"/>
        <v>0</v>
      </c>
      <c r="L246" s="2">
        <f t="shared" si="3"/>
        <v>0</v>
      </c>
      <c r="M246" s="2">
        <f t="shared" si="4"/>
        <v>0</v>
      </c>
      <c r="N246" s="2">
        <f t="shared" si="5"/>
        <v>1</v>
      </c>
      <c r="O246" s="2">
        <f t="shared" si="6"/>
        <v>0</v>
      </c>
      <c r="P246" s="2">
        <f t="shared" si="7"/>
        <v>0</v>
      </c>
    </row>
    <row r="247" ht="14.25" customHeight="1">
      <c r="A247" s="4">
        <v>45446.552083333336</v>
      </c>
      <c r="B247" s="1">
        <v>22.22100426012115</v>
      </c>
      <c r="C247" s="1">
        <v>52.60302662392953</v>
      </c>
      <c r="D247" s="1" t="b">
        <f>IF(AND(dss_report!$B247&gt;30, dss_report!$C247&lt;40), TRUE, FALSE)</f>
        <v>0</v>
      </c>
      <c r="E247" s="1"/>
      <c r="F247" s="2">
        <f>LET(
 _xlpm.t,dss_report!$B247, _xlpm.lo,18, _xlpm.hi,28,
 IF(AND(_xlpm.t&gt;=_xlpm.lo, _xlpm.t&lt;=_xlpm.hi), 1,
   IF(_xlpm.t&lt;_xlpm.lo, MAX(0, 1 - (_xlpm.lo - _xlpm.t)/(_xlpm.lo*0.5)),
             MAX(0, 1 - (_xlpm.t - _xlpm.hi)/(_xlpm.hi*0.5))
   )
 )
)</f>
        <v>1</v>
      </c>
      <c r="G247" s="2">
        <f>LET(
 _xlpm.h,dss_report!$C247, _xlpm.lo,45, _xlpm.hi,70,
 IF(AND(_xlpm.h&gt;=_xlpm.lo, _xlpm.h&lt;=_xlpm.hi), 1,
   IF(_xlpm.h&lt;_xlpm.lo, MAX(0, 1 - (_xlpm.lo - _xlpm.h)/(_xlpm.lo*0.5)),
             MAX(0, 1 - (_xlpm.h - _xlpm.hi)/(_xlpm.hi*0.5))
   )
 )
)</f>
        <v>1</v>
      </c>
      <c r="H247" s="2">
        <f t="shared" si="1"/>
        <v>1</v>
      </c>
      <c r="I247" s="2" t="b">
        <f>IF(OR(dss_report!$D247=TRUE, H247&lt;0.3), TRUE, FALSE)</f>
        <v>0</v>
      </c>
      <c r="J247" s="2" t="b">
        <f>IF( OR( AND(dss_report!$B247&gt;31, dss_report!$C247&lt;38), H247&lt;0.25 ), TRUE, FALSE)</f>
        <v>0</v>
      </c>
      <c r="K247" s="2">
        <f t="shared" si="2"/>
        <v>0</v>
      </c>
      <c r="L247" s="2">
        <f t="shared" si="3"/>
        <v>0</v>
      </c>
      <c r="M247" s="2">
        <f t="shared" si="4"/>
        <v>0</v>
      </c>
      <c r="N247" s="2">
        <f t="shared" si="5"/>
        <v>1</v>
      </c>
      <c r="O247" s="2">
        <f t="shared" si="6"/>
        <v>0</v>
      </c>
      <c r="P247" s="2">
        <f t="shared" si="7"/>
        <v>0</v>
      </c>
    </row>
    <row r="248" ht="14.25" customHeight="1">
      <c r="A248" s="4">
        <v>45446.5625</v>
      </c>
      <c r="B248" s="1">
        <v>22.47474072258254</v>
      </c>
      <c r="C248" s="1">
        <v>53.29787037255348</v>
      </c>
      <c r="D248" s="1" t="b">
        <f>IF(AND(dss_report!$B248&gt;30, dss_report!$C248&lt;40), TRUE, FALSE)</f>
        <v>0</v>
      </c>
      <c r="E248" s="1"/>
      <c r="F248" s="2">
        <f>LET(
 _xlpm.t,dss_report!$B248, _xlpm.lo,18, _xlpm.hi,28,
 IF(AND(_xlpm.t&gt;=_xlpm.lo, _xlpm.t&lt;=_xlpm.hi), 1,
   IF(_xlpm.t&lt;_xlpm.lo, MAX(0, 1 - (_xlpm.lo - _xlpm.t)/(_xlpm.lo*0.5)),
             MAX(0, 1 - (_xlpm.t - _xlpm.hi)/(_xlpm.hi*0.5))
   )
 )
)</f>
        <v>1</v>
      </c>
      <c r="G248" s="2">
        <f>LET(
 _xlpm.h,dss_report!$C248, _xlpm.lo,45, _xlpm.hi,70,
 IF(AND(_xlpm.h&gt;=_xlpm.lo, _xlpm.h&lt;=_xlpm.hi), 1,
   IF(_xlpm.h&lt;_xlpm.lo, MAX(0, 1 - (_xlpm.lo - _xlpm.h)/(_xlpm.lo*0.5)),
             MAX(0, 1 - (_xlpm.h - _xlpm.hi)/(_xlpm.hi*0.5))
   )
 )
)</f>
        <v>1</v>
      </c>
      <c r="H248" s="2">
        <f t="shared" si="1"/>
        <v>1</v>
      </c>
      <c r="I248" s="2" t="b">
        <f>IF(OR(dss_report!$D248=TRUE, H248&lt;0.3), TRUE, FALSE)</f>
        <v>0</v>
      </c>
      <c r="J248" s="2" t="b">
        <f>IF( OR( AND(dss_report!$B248&gt;31, dss_report!$C248&lt;38), H248&lt;0.25 ), TRUE, FALSE)</f>
        <v>0</v>
      </c>
      <c r="K248" s="2">
        <f t="shared" si="2"/>
        <v>0</v>
      </c>
      <c r="L248" s="2">
        <f t="shared" si="3"/>
        <v>0</v>
      </c>
      <c r="M248" s="2">
        <f t="shared" si="4"/>
        <v>0</v>
      </c>
      <c r="N248" s="2">
        <f t="shared" si="5"/>
        <v>1</v>
      </c>
      <c r="O248" s="2">
        <f t="shared" si="6"/>
        <v>0</v>
      </c>
      <c r="P248" s="2">
        <f t="shared" si="7"/>
        <v>0</v>
      </c>
    </row>
    <row r="249" ht="14.25" customHeight="1">
      <c r="A249" s="4">
        <v>45446.572916666664</v>
      </c>
      <c r="B249" s="1">
        <v>23.276844898484484</v>
      </c>
      <c r="C249" s="1">
        <v>51.94939812789665</v>
      </c>
      <c r="D249" s="1" t="b">
        <f>IF(AND(dss_report!$B249&gt;30, dss_report!$C249&lt;40), TRUE, FALSE)</f>
        <v>0</v>
      </c>
      <c r="E249" s="1"/>
      <c r="F249" s="2">
        <f>LET(
 _xlpm.t,dss_report!$B249, _xlpm.lo,18, _xlpm.hi,28,
 IF(AND(_xlpm.t&gt;=_xlpm.lo, _xlpm.t&lt;=_xlpm.hi), 1,
   IF(_xlpm.t&lt;_xlpm.lo, MAX(0, 1 - (_xlpm.lo - _xlpm.t)/(_xlpm.lo*0.5)),
             MAX(0, 1 - (_xlpm.t - _xlpm.hi)/(_xlpm.hi*0.5))
   )
 )
)</f>
        <v>1</v>
      </c>
      <c r="G249" s="2">
        <f>LET(
 _xlpm.h,dss_report!$C249, _xlpm.lo,45, _xlpm.hi,70,
 IF(AND(_xlpm.h&gt;=_xlpm.lo, _xlpm.h&lt;=_xlpm.hi), 1,
   IF(_xlpm.h&lt;_xlpm.lo, MAX(0, 1 - (_xlpm.lo - _xlpm.h)/(_xlpm.lo*0.5)),
             MAX(0, 1 - (_xlpm.h - _xlpm.hi)/(_xlpm.hi*0.5))
   )
 )
)</f>
        <v>1</v>
      </c>
      <c r="H249" s="2">
        <f t="shared" si="1"/>
        <v>1</v>
      </c>
      <c r="I249" s="2" t="b">
        <f>IF(OR(dss_report!$D249=TRUE, H249&lt;0.3), TRUE, FALSE)</f>
        <v>0</v>
      </c>
      <c r="J249" s="2" t="b">
        <f>IF( OR( AND(dss_report!$B249&gt;31, dss_report!$C249&lt;38), H249&lt;0.25 ), TRUE, FALSE)</f>
        <v>0</v>
      </c>
      <c r="K249" s="2">
        <f t="shared" si="2"/>
        <v>0</v>
      </c>
      <c r="L249" s="2">
        <f t="shared" si="3"/>
        <v>0</v>
      </c>
      <c r="M249" s="2">
        <f t="shared" si="4"/>
        <v>0</v>
      </c>
      <c r="N249" s="2">
        <f t="shared" si="5"/>
        <v>1</v>
      </c>
      <c r="O249" s="2">
        <f t="shared" si="6"/>
        <v>0</v>
      </c>
      <c r="P249" s="2">
        <f t="shared" si="7"/>
        <v>0</v>
      </c>
    </row>
    <row r="250" ht="14.25" customHeight="1">
      <c r="A250" s="4">
        <v>45446.583333333336</v>
      </c>
      <c r="B250" s="1">
        <v>22.743705766329533</v>
      </c>
      <c r="C250" s="1">
        <v>49.679924061144334</v>
      </c>
      <c r="D250" s="1" t="b">
        <f>IF(AND(dss_report!$B250&gt;30, dss_report!$C250&lt;40), TRUE, FALSE)</f>
        <v>0</v>
      </c>
      <c r="E250" s="1"/>
      <c r="F250" s="2">
        <f>LET(
 _xlpm.t,dss_report!$B250, _xlpm.lo,18, _xlpm.hi,28,
 IF(AND(_xlpm.t&gt;=_xlpm.lo, _xlpm.t&lt;=_xlpm.hi), 1,
   IF(_xlpm.t&lt;_xlpm.lo, MAX(0, 1 - (_xlpm.lo - _xlpm.t)/(_xlpm.lo*0.5)),
             MAX(0, 1 - (_xlpm.t - _xlpm.hi)/(_xlpm.hi*0.5))
   )
 )
)</f>
        <v>1</v>
      </c>
      <c r="G250" s="2">
        <f>LET(
 _xlpm.h,dss_report!$C250, _xlpm.lo,45, _xlpm.hi,70,
 IF(AND(_xlpm.h&gt;=_xlpm.lo, _xlpm.h&lt;=_xlpm.hi), 1,
   IF(_xlpm.h&lt;_xlpm.lo, MAX(0, 1 - (_xlpm.lo - _xlpm.h)/(_xlpm.lo*0.5)),
             MAX(0, 1 - (_xlpm.h - _xlpm.hi)/(_xlpm.hi*0.5))
   )
 )
)</f>
        <v>1</v>
      </c>
      <c r="H250" s="2">
        <f t="shared" si="1"/>
        <v>1</v>
      </c>
      <c r="I250" s="2" t="b">
        <f>IF(OR(dss_report!$D250=TRUE, H250&lt;0.3), TRUE, FALSE)</f>
        <v>0</v>
      </c>
      <c r="J250" s="2" t="b">
        <f>IF( OR( AND(dss_report!$B250&gt;31, dss_report!$C250&lt;38), H250&lt;0.25 ), TRUE, FALSE)</f>
        <v>0</v>
      </c>
      <c r="K250" s="2">
        <f t="shared" si="2"/>
        <v>0</v>
      </c>
      <c r="L250" s="2">
        <f t="shared" si="3"/>
        <v>0</v>
      </c>
      <c r="M250" s="2">
        <f t="shared" si="4"/>
        <v>0</v>
      </c>
      <c r="N250" s="2">
        <f t="shared" si="5"/>
        <v>1</v>
      </c>
      <c r="O250" s="2">
        <f t="shared" si="6"/>
        <v>0</v>
      </c>
      <c r="P250" s="2">
        <f t="shared" si="7"/>
        <v>0</v>
      </c>
    </row>
    <row r="251" ht="14.25" customHeight="1">
      <c r="A251" s="4">
        <v>45446.59375</v>
      </c>
      <c r="B251" s="1">
        <v>21.891300579199164</v>
      </c>
      <c r="C251" s="1">
        <v>46.905858352885915</v>
      </c>
      <c r="D251" s="1" t="b">
        <f>IF(AND(dss_report!$B251&gt;30, dss_report!$C251&lt;40), TRUE, FALSE)</f>
        <v>0</v>
      </c>
      <c r="E251" s="1"/>
      <c r="F251" s="2">
        <f>LET(
 _xlpm.t,dss_report!$B251, _xlpm.lo,18, _xlpm.hi,28,
 IF(AND(_xlpm.t&gt;=_xlpm.lo, _xlpm.t&lt;=_xlpm.hi), 1,
   IF(_xlpm.t&lt;_xlpm.lo, MAX(0, 1 - (_xlpm.lo - _xlpm.t)/(_xlpm.lo*0.5)),
             MAX(0, 1 - (_xlpm.t - _xlpm.hi)/(_xlpm.hi*0.5))
   )
 )
)</f>
        <v>1</v>
      </c>
      <c r="G251" s="2">
        <f>LET(
 _xlpm.h,dss_report!$C251, _xlpm.lo,45, _xlpm.hi,70,
 IF(AND(_xlpm.h&gt;=_xlpm.lo, _xlpm.h&lt;=_xlpm.hi), 1,
   IF(_xlpm.h&lt;_xlpm.lo, MAX(0, 1 - (_xlpm.lo - _xlpm.h)/(_xlpm.lo*0.5)),
             MAX(0, 1 - (_xlpm.h - _xlpm.hi)/(_xlpm.hi*0.5))
   )
 )
)</f>
        <v>1</v>
      </c>
      <c r="H251" s="2">
        <f t="shared" si="1"/>
        <v>1</v>
      </c>
      <c r="I251" s="2" t="b">
        <f>IF(OR(dss_report!$D251=TRUE, H251&lt;0.3), TRUE, FALSE)</f>
        <v>0</v>
      </c>
      <c r="J251" s="2" t="b">
        <f>IF( OR( AND(dss_report!$B251&gt;31, dss_report!$C251&lt;38), H251&lt;0.25 ), TRUE, FALSE)</f>
        <v>0</v>
      </c>
      <c r="K251" s="2">
        <f t="shared" si="2"/>
        <v>0</v>
      </c>
      <c r="L251" s="2">
        <f t="shared" si="3"/>
        <v>0</v>
      </c>
      <c r="M251" s="2">
        <f t="shared" si="4"/>
        <v>0</v>
      </c>
      <c r="N251" s="2">
        <f t="shared" si="5"/>
        <v>1</v>
      </c>
      <c r="O251" s="2">
        <f t="shared" si="6"/>
        <v>0</v>
      </c>
      <c r="P251" s="2">
        <f t="shared" si="7"/>
        <v>0</v>
      </c>
    </row>
    <row r="252" ht="14.25" customHeight="1">
      <c r="A252" s="4">
        <v>45446.604166666664</v>
      </c>
      <c r="B252" s="1">
        <v>21.24630050593474</v>
      </c>
      <c r="C252" s="1">
        <v>50.7352785312189</v>
      </c>
      <c r="D252" s="1" t="b">
        <f>IF(AND(dss_report!$B252&gt;30, dss_report!$C252&lt;40), TRUE, FALSE)</f>
        <v>0</v>
      </c>
      <c r="E252" s="1"/>
      <c r="F252" s="2">
        <f>LET(
 _xlpm.t,dss_report!$B252, _xlpm.lo,18, _xlpm.hi,28,
 IF(AND(_xlpm.t&gt;=_xlpm.lo, _xlpm.t&lt;=_xlpm.hi), 1,
   IF(_xlpm.t&lt;_xlpm.lo, MAX(0, 1 - (_xlpm.lo - _xlpm.t)/(_xlpm.lo*0.5)),
             MAX(0, 1 - (_xlpm.t - _xlpm.hi)/(_xlpm.hi*0.5))
   )
 )
)</f>
        <v>1</v>
      </c>
      <c r="G252" s="2">
        <f>LET(
 _xlpm.h,dss_report!$C252, _xlpm.lo,45, _xlpm.hi,70,
 IF(AND(_xlpm.h&gt;=_xlpm.lo, _xlpm.h&lt;=_xlpm.hi), 1,
   IF(_xlpm.h&lt;_xlpm.lo, MAX(0, 1 - (_xlpm.lo - _xlpm.h)/(_xlpm.lo*0.5)),
             MAX(0, 1 - (_xlpm.h - _xlpm.hi)/(_xlpm.hi*0.5))
   )
 )
)</f>
        <v>1</v>
      </c>
      <c r="H252" s="2">
        <f t="shared" si="1"/>
        <v>1</v>
      </c>
      <c r="I252" s="2" t="b">
        <f>IF(OR(dss_report!$D252=TRUE, H252&lt;0.3), TRUE, FALSE)</f>
        <v>0</v>
      </c>
      <c r="J252" s="2" t="b">
        <f>IF( OR( AND(dss_report!$B252&gt;31, dss_report!$C252&lt;38), H252&lt;0.25 ), TRUE, FALSE)</f>
        <v>0</v>
      </c>
      <c r="K252" s="2">
        <f t="shared" si="2"/>
        <v>0</v>
      </c>
      <c r="L252" s="2">
        <f t="shared" si="3"/>
        <v>0</v>
      </c>
      <c r="M252" s="2">
        <f t="shared" si="4"/>
        <v>0</v>
      </c>
      <c r="N252" s="2">
        <f t="shared" si="5"/>
        <v>1</v>
      </c>
      <c r="O252" s="2">
        <f t="shared" si="6"/>
        <v>0</v>
      </c>
      <c r="P252" s="2">
        <f t="shared" si="7"/>
        <v>0</v>
      </c>
    </row>
    <row r="253" ht="14.25" customHeight="1">
      <c r="A253" s="4">
        <v>45446.614583333336</v>
      </c>
      <c r="B253" s="1">
        <v>22.313620752553454</v>
      </c>
      <c r="C253" s="1">
        <v>47.35867825824065</v>
      </c>
      <c r="D253" s="1" t="b">
        <f>IF(AND(dss_report!$B253&gt;30, dss_report!$C253&lt;40), TRUE, FALSE)</f>
        <v>0</v>
      </c>
      <c r="E253" s="1"/>
      <c r="F253" s="2">
        <f>LET(
 _xlpm.t,dss_report!$B253, _xlpm.lo,18, _xlpm.hi,28,
 IF(AND(_xlpm.t&gt;=_xlpm.lo, _xlpm.t&lt;=_xlpm.hi), 1,
   IF(_xlpm.t&lt;_xlpm.lo, MAX(0, 1 - (_xlpm.lo - _xlpm.t)/(_xlpm.lo*0.5)),
             MAX(0, 1 - (_xlpm.t - _xlpm.hi)/(_xlpm.hi*0.5))
   )
 )
)</f>
        <v>1</v>
      </c>
      <c r="G253" s="2">
        <f>LET(
 _xlpm.h,dss_report!$C253, _xlpm.lo,45, _xlpm.hi,70,
 IF(AND(_xlpm.h&gt;=_xlpm.lo, _xlpm.h&lt;=_xlpm.hi), 1,
   IF(_xlpm.h&lt;_xlpm.lo, MAX(0, 1 - (_xlpm.lo - _xlpm.h)/(_xlpm.lo*0.5)),
             MAX(0, 1 - (_xlpm.h - _xlpm.hi)/(_xlpm.hi*0.5))
   )
 )
)</f>
        <v>1</v>
      </c>
      <c r="H253" s="2">
        <f t="shared" si="1"/>
        <v>1</v>
      </c>
      <c r="I253" s="2" t="b">
        <f>IF(OR(dss_report!$D253=TRUE, H253&lt;0.3), TRUE, FALSE)</f>
        <v>0</v>
      </c>
      <c r="J253" s="2" t="b">
        <f>IF( OR( AND(dss_report!$B253&gt;31, dss_report!$C253&lt;38), H253&lt;0.25 ), TRUE, FALSE)</f>
        <v>0</v>
      </c>
      <c r="K253" s="2">
        <f t="shared" si="2"/>
        <v>0</v>
      </c>
      <c r="L253" s="2">
        <f t="shared" si="3"/>
        <v>0</v>
      </c>
      <c r="M253" s="2">
        <f t="shared" si="4"/>
        <v>0</v>
      </c>
      <c r="N253" s="2">
        <f t="shared" si="5"/>
        <v>1</v>
      </c>
      <c r="O253" s="2">
        <f t="shared" si="6"/>
        <v>0</v>
      </c>
      <c r="P253" s="2">
        <f t="shared" si="7"/>
        <v>0</v>
      </c>
    </row>
    <row r="254" ht="14.25" customHeight="1">
      <c r="A254" s="4">
        <v>45446.625</v>
      </c>
      <c r="B254" s="1">
        <v>21.858538721762994</v>
      </c>
      <c r="C254" s="1">
        <v>49.226888198939946</v>
      </c>
      <c r="D254" s="1" t="b">
        <f>IF(AND(dss_report!$B254&gt;30, dss_report!$C254&lt;40), TRUE, FALSE)</f>
        <v>0</v>
      </c>
      <c r="E254" s="1"/>
      <c r="F254" s="2">
        <f>LET(
 _xlpm.t,dss_report!$B254, _xlpm.lo,18, _xlpm.hi,28,
 IF(AND(_xlpm.t&gt;=_xlpm.lo, _xlpm.t&lt;=_xlpm.hi), 1,
   IF(_xlpm.t&lt;_xlpm.lo, MAX(0, 1 - (_xlpm.lo - _xlpm.t)/(_xlpm.lo*0.5)),
             MAX(0, 1 - (_xlpm.t - _xlpm.hi)/(_xlpm.hi*0.5))
   )
 )
)</f>
        <v>1</v>
      </c>
      <c r="G254" s="2">
        <f>LET(
 _xlpm.h,dss_report!$C254, _xlpm.lo,45, _xlpm.hi,70,
 IF(AND(_xlpm.h&gt;=_xlpm.lo, _xlpm.h&lt;=_xlpm.hi), 1,
   IF(_xlpm.h&lt;_xlpm.lo, MAX(0, 1 - (_xlpm.lo - _xlpm.h)/(_xlpm.lo*0.5)),
             MAX(0, 1 - (_xlpm.h - _xlpm.hi)/(_xlpm.hi*0.5))
   )
 )
)</f>
        <v>1</v>
      </c>
      <c r="H254" s="2">
        <f t="shared" si="1"/>
        <v>1</v>
      </c>
      <c r="I254" s="2" t="b">
        <f>IF(OR(dss_report!$D254=TRUE, H254&lt;0.3), TRUE, FALSE)</f>
        <v>0</v>
      </c>
      <c r="J254" s="2" t="b">
        <f>IF( OR( AND(dss_report!$B254&gt;31, dss_report!$C254&lt;38), H254&lt;0.25 ), TRUE, FALSE)</f>
        <v>0</v>
      </c>
      <c r="K254" s="2">
        <f t="shared" si="2"/>
        <v>0</v>
      </c>
      <c r="L254" s="2">
        <f t="shared" si="3"/>
        <v>0</v>
      </c>
      <c r="M254" s="2">
        <f t="shared" si="4"/>
        <v>0</v>
      </c>
      <c r="N254" s="2">
        <f t="shared" si="5"/>
        <v>1</v>
      </c>
      <c r="O254" s="2">
        <f t="shared" si="6"/>
        <v>0</v>
      </c>
      <c r="P254" s="2">
        <f t="shared" si="7"/>
        <v>0</v>
      </c>
    </row>
    <row r="255" ht="14.25" customHeight="1">
      <c r="A255" s="4">
        <v>45446.635416666664</v>
      </c>
      <c r="B255" s="1">
        <v>21.713856516747445</v>
      </c>
      <c r="C255" s="1">
        <v>52.606579774258286</v>
      </c>
      <c r="D255" s="1" t="b">
        <f>IF(AND(dss_report!$B255&gt;30, dss_report!$C255&lt;40), TRUE, FALSE)</f>
        <v>0</v>
      </c>
      <c r="E255" s="1"/>
      <c r="F255" s="2">
        <f>LET(
 _xlpm.t,dss_report!$B255, _xlpm.lo,18, _xlpm.hi,28,
 IF(AND(_xlpm.t&gt;=_xlpm.lo, _xlpm.t&lt;=_xlpm.hi), 1,
   IF(_xlpm.t&lt;_xlpm.lo, MAX(0, 1 - (_xlpm.lo - _xlpm.t)/(_xlpm.lo*0.5)),
             MAX(0, 1 - (_xlpm.t - _xlpm.hi)/(_xlpm.hi*0.5))
   )
 )
)</f>
        <v>1</v>
      </c>
      <c r="G255" s="2">
        <f>LET(
 _xlpm.h,dss_report!$C255, _xlpm.lo,45, _xlpm.hi,70,
 IF(AND(_xlpm.h&gt;=_xlpm.lo, _xlpm.h&lt;=_xlpm.hi), 1,
   IF(_xlpm.h&lt;_xlpm.lo, MAX(0, 1 - (_xlpm.lo - _xlpm.h)/(_xlpm.lo*0.5)),
             MAX(0, 1 - (_xlpm.h - _xlpm.hi)/(_xlpm.hi*0.5))
   )
 )
)</f>
        <v>1</v>
      </c>
      <c r="H255" s="2">
        <f t="shared" si="1"/>
        <v>1</v>
      </c>
      <c r="I255" s="2" t="b">
        <f>IF(OR(dss_report!$D255=TRUE, H255&lt;0.3), TRUE, FALSE)</f>
        <v>0</v>
      </c>
      <c r="J255" s="2" t="b">
        <f>IF( OR( AND(dss_report!$B255&gt;31, dss_report!$C255&lt;38), H255&lt;0.25 ), TRUE, FALSE)</f>
        <v>0</v>
      </c>
      <c r="K255" s="2">
        <f t="shared" si="2"/>
        <v>0</v>
      </c>
      <c r="L255" s="2">
        <f t="shared" si="3"/>
        <v>0</v>
      </c>
      <c r="M255" s="2">
        <f t="shared" si="4"/>
        <v>0</v>
      </c>
      <c r="N255" s="2">
        <f t="shared" si="5"/>
        <v>1</v>
      </c>
      <c r="O255" s="2">
        <f t="shared" si="6"/>
        <v>0</v>
      </c>
      <c r="P255" s="2">
        <f t="shared" si="7"/>
        <v>0</v>
      </c>
    </row>
    <row r="256" ht="14.25" customHeight="1">
      <c r="A256" s="4">
        <v>45446.645833333336</v>
      </c>
      <c r="B256" s="1">
        <v>21.59479245526695</v>
      </c>
      <c r="C256" s="1">
        <v>49.920114498890115</v>
      </c>
      <c r="D256" s="1" t="b">
        <f>IF(AND(dss_report!$B256&gt;30, dss_report!$C256&lt;40), TRUE, FALSE)</f>
        <v>0</v>
      </c>
      <c r="E256" s="1"/>
      <c r="F256" s="2">
        <f>LET(
 _xlpm.t,dss_report!$B256, _xlpm.lo,18, _xlpm.hi,28,
 IF(AND(_xlpm.t&gt;=_xlpm.lo, _xlpm.t&lt;=_xlpm.hi), 1,
   IF(_xlpm.t&lt;_xlpm.lo, MAX(0, 1 - (_xlpm.lo - _xlpm.t)/(_xlpm.lo*0.5)),
             MAX(0, 1 - (_xlpm.t - _xlpm.hi)/(_xlpm.hi*0.5))
   )
 )
)</f>
        <v>1</v>
      </c>
      <c r="G256" s="2">
        <f>LET(
 _xlpm.h,dss_report!$C256, _xlpm.lo,45, _xlpm.hi,70,
 IF(AND(_xlpm.h&gt;=_xlpm.lo, _xlpm.h&lt;=_xlpm.hi), 1,
   IF(_xlpm.h&lt;_xlpm.lo, MAX(0, 1 - (_xlpm.lo - _xlpm.h)/(_xlpm.lo*0.5)),
             MAX(0, 1 - (_xlpm.h - _xlpm.hi)/(_xlpm.hi*0.5))
   )
 )
)</f>
        <v>1</v>
      </c>
      <c r="H256" s="2">
        <f t="shared" si="1"/>
        <v>1</v>
      </c>
      <c r="I256" s="2" t="b">
        <f>IF(OR(dss_report!$D256=TRUE, H256&lt;0.3), TRUE, FALSE)</f>
        <v>0</v>
      </c>
      <c r="J256" s="2" t="b">
        <f>IF( OR( AND(dss_report!$B256&gt;31, dss_report!$C256&lt;38), H256&lt;0.25 ), TRUE, FALSE)</f>
        <v>0</v>
      </c>
      <c r="K256" s="2">
        <f t="shared" si="2"/>
        <v>0</v>
      </c>
      <c r="L256" s="2">
        <f t="shared" si="3"/>
        <v>0</v>
      </c>
      <c r="M256" s="2">
        <f t="shared" si="4"/>
        <v>0</v>
      </c>
      <c r="N256" s="2">
        <f t="shared" si="5"/>
        <v>1</v>
      </c>
      <c r="O256" s="2">
        <f t="shared" si="6"/>
        <v>0</v>
      </c>
      <c r="P256" s="2">
        <f t="shared" si="7"/>
        <v>0</v>
      </c>
    </row>
    <row r="257" ht="14.25" customHeight="1">
      <c r="A257" s="4">
        <v>45446.65625</v>
      </c>
      <c r="B257" s="1">
        <v>21.893690651000824</v>
      </c>
      <c r="C257" s="1">
        <v>48.70912498795181</v>
      </c>
      <c r="D257" s="1" t="b">
        <f>IF(AND(dss_report!$B257&gt;30, dss_report!$C257&lt;40), TRUE, FALSE)</f>
        <v>0</v>
      </c>
      <c r="E257" s="1"/>
      <c r="F257" s="2">
        <f>LET(
 _xlpm.t,dss_report!$B257, _xlpm.lo,18, _xlpm.hi,28,
 IF(AND(_xlpm.t&gt;=_xlpm.lo, _xlpm.t&lt;=_xlpm.hi), 1,
   IF(_xlpm.t&lt;_xlpm.lo, MAX(0, 1 - (_xlpm.lo - _xlpm.t)/(_xlpm.lo*0.5)),
             MAX(0, 1 - (_xlpm.t - _xlpm.hi)/(_xlpm.hi*0.5))
   )
 )
)</f>
        <v>1</v>
      </c>
      <c r="G257" s="2">
        <f>LET(
 _xlpm.h,dss_report!$C257, _xlpm.lo,45, _xlpm.hi,70,
 IF(AND(_xlpm.h&gt;=_xlpm.lo, _xlpm.h&lt;=_xlpm.hi), 1,
   IF(_xlpm.h&lt;_xlpm.lo, MAX(0, 1 - (_xlpm.lo - _xlpm.h)/(_xlpm.lo*0.5)),
             MAX(0, 1 - (_xlpm.h - _xlpm.hi)/(_xlpm.hi*0.5))
   )
 )
)</f>
        <v>1</v>
      </c>
      <c r="H257" s="2">
        <f t="shared" si="1"/>
        <v>1</v>
      </c>
      <c r="I257" s="2" t="b">
        <f>IF(OR(dss_report!$D257=TRUE, H257&lt;0.3), TRUE, FALSE)</f>
        <v>0</v>
      </c>
      <c r="J257" s="2" t="b">
        <f>IF( OR( AND(dss_report!$B257&gt;31, dss_report!$C257&lt;38), H257&lt;0.25 ), TRUE, FALSE)</f>
        <v>0</v>
      </c>
      <c r="K257" s="2">
        <f t="shared" si="2"/>
        <v>0</v>
      </c>
      <c r="L257" s="2">
        <f t="shared" si="3"/>
        <v>0</v>
      </c>
      <c r="M257" s="2">
        <f t="shared" si="4"/>
        <v>0</v>
      </c>
      <c r="N257" s="2">
        <f t="shared" si="5"/>
        <v>1</v>
      </c>
      <c r="O257" s="2">
        <f t="shared" si="6"/>
        <v>0</v>
      </c>
      <c r="P257" s="2">
        <f t="shared" si="7"/>
        <v>0</v>
      </c>
    </row>
    <row r="258" ht="14.25" customHeight="1">
      <c r="A258" s="4">
        <v>45446.666666666664</v>
      </c>
      <c r="B258" s="1">
        <v>21.774192169831313</v>
      </c>
      <c r="C258" s="1">
        <v>48.474228385911424</v>
      </c>
      <c r="D258" s="1" t="b">
        <f>IF(AND(dss_report!$B258&gt;30, dss_report!$C258&lt;40), TRUE, FALSE)</f>
        <v>0</v>
      </c>
      <c r="E258" s="1"/>
      <c r="F258" s="2">
        <f>LET(
 _xlpm.t,dss_report!$B258, _xlpm.lo,18, _xlpm.hi,28,
 IF(AND(_xlpm.t&gt;=_xlpm.lo, _xlpm.t&lt;=_xlpm.hi), 1,
   IF(_xlpm.t&lt;_xlpm.lo, MAX(0, 1 - (_xlpm.lo - _xlpm.t)/(_xlpm.lo*0.5)),
             MAX(0, 1 - (_xlpm.t - _xlpm.hi)/(_xlpm.hi*0.5))
   )
 )
)</f>
        <v>1</v>
      </c>
      <c r="G258" s="2">
        <f>LET(
 _xlpm.h,dss_report!$C258, _xlpm.lo,45, _xlpm.hi,70,
 IF(AND(_xlpm.h&gt;=_xlpm.lo, _xlpm.h&lt;=_xlpm.hi), 1,
   IF(_xlpm.h&lt;_xlpm.lo, MAX(0, 1 - (_xlpm.lo - _xlpm.h)/(_xlpm.lo*0.5)),
             MAX(0, 1 - (_xlpm.h - _xlpm.hi)/(_xlpm.hi*0.5))
   )
 )
)</f>
        <v>1</v>
      </c>
      <c r="H258" s="2">
        <f t="shared" si="1"/>
        <v>1</v>
      </c>
      <c r="I258" s="2" t="b">
        <f>IF(OR(dss_report!$D258=TRUE, H258&lt;0.3), TRUE, FALSE)</f>
        <v>0</v>
      </c>
      <c r="J258" s="2" t="b">
        <f>IF( OR( AND(dss_report!$B258&gt;31, dss_report!$C258&lt;38), H258&lt;0.25 ), TRUE, FALSE)</f>
        <v>0</v>
      </c>
      <c r="K258" s="2">
        <f t="shared" si="2"/>
        <v>0</v>
      </c>
      <c r="L258" s="2">
        <f t="shared" si="3"/>
        <v>0</v>
      </c>
      <c r="M258" s="2">
        <f t="shared" si="4"/>
        <v>0</v>
      </c>
      <c r="N258" s="2">
        <f t="shared" si="5"/>
        <v>1</v>
      </c>
      <c r="O258" s="2">
        <f t="shared" si="6"/>
        <v>0</v>
      </c>
      <c r="P258" s="2">
        <f t="shared" si="7"/>
        <v>0</v>
      </c>
    </row>
    <row r="259" ht="14.25" customHeight="1">
      <c r="A259" s="4">
        <v>45446.677083333336</v>
      </c>
      <c r="B259" s="1">
        <v>22.11845910194497</v>
      </c>
      <c r="C259" s="1">
        <v>49.558823714789234</v>
      </c>
      <c r="D259" s="1" t="b">
        <f>IF(AND(dss_report!$B259&gt;30, dss_report!$C259&lt;40), TRUE, FALSE)</f>
        <v>0</v>
      </c>
      <c r="E259" s="1"/>
      <c r="F259" s="2">
        <f>LET(
 _xlpm.t,dss_report!$B259, _xlpm.lo,18, _xlpm.hi,28,
 IF(AND(_xlpm.t&gt;=_xlpm.lo, _xlpm.t&lt;=_xlpm.hi), 1,
   IF(_xlpm.t&lt;_xlpm.lo, MAX(0, 1 - (_xlpm.lo - _xlpm.t)/(_xlpm.lo*0.5)),
             MAX(0, 1 - (_xlpm.t - _xlpm.hi)/(_xlpm.hi*0.5))
   )
 )
)</f>
        <v>1</v>
      </c>
      <c r="G259" s="2">
        <f>LET(
 _xlpm.h,dss_report!$C259, _xlpm.lo,45, _xlpm.hi,70,
 IF(AND(_xlpm.h&gt;=_xlpm.lo, _xlpm.h&lt;=_xlpm.hi), 1,
   IF(_xlpm.h&lt;_xlpm.lo, MAX(0, 1 - (_xlpm.lo - _xlpm.h)/(_xlpm.lo*0.5)),
             MAX(0, 1 - (_xlpm.h - _xlpm.hi)/(_xlpm.hi*0.5))
   )
 )
)</f>
        <v>1</v>
      </c>
      <c r="H259" s="2">
        <f t="shared" si="1"/>
        <v>1</v>
      </c>
      <c r="I259" s="2" t="b">
        <f>IF(OR(dss_report!$D259=TRUE, H259&lt;0.3), TRUE, FALSE)</f>
        <v>0</v>
      </c>
      <c r="J259" s="2" t="b">
        <f>IF( OR( AND(dss_report!$B259&gt;31, dss_report!$C259&lt;38), H259&lt;0.25 ), TRUE, FALSE)</f>
        <v>0</v>
      </c>
      <c r="K259" s="2">
        <f t="shared" si="2"/>
        <v>0</v>
      </c>
      <c r="L259" s="2">
        <f t="shared" si="3"/>
        <v>0</v>
      </c>
      <c r="M259" s="2">
        <f t="shared" si="4"/>
        <v>0</v>
      </c>
      <c r="N259" s="2">
        <f t="shared" si="5"/>
        <v>1</v>
      </c>
      <c r="O259" s="2">
        <f t="shared" si="6"/>
        <v>0</v>
      </c>
      <c r="P259" s="2">
        <f t="shared" si="7"/>
        <v>0</v>
      </c>
    </row>
    <row r="260" ht="14.25" customHeight="1">
      <c r="A260" s="4">
        <v>45446.6875</v>
      </c>
      <c r="B260" s="1">
        <v>21.975714019879796</v>
      </c>
      <c r="C260" s="1">
        <v>49.69596291137495</v>
      </c>
      <c r="D260" s="1" t="b">
        <f>IF(AND(dss_report!$B260&gt;30, dss_report!$C260&lt;40), TRUE, FALSE)</f>
        <v>0</v>
      </c>
      <c r="E260" s="1"/>
      <c r="F260" s="2">
        <f>LET(
 _xlpm.t,dss_report!$B260, _xlpm.lo,18, _xlpm.hi,28,
 IF(AND(_xlpm.t&gt;=_xlpm.lo, _xlpm.t&lt;=_xlpm.hi), 1,
   IF(_xlpm.t&lt;_xlpm.lo, MAX(0, 1 - (_xlpm.lo - _xlpm.t)/(_xlpm.lo*0.5)),
             MAX(0, 1 - (_xlpm.t - _xlpm.hi)/(_xlpm.hi*0.5))
   )
 )
)</f>
        <v>1</v>
      </c>
      <c r="G260" s="2">
        <f>LET(
 _xlpm.h,dss_report!$C260, _xlpm.lo,45, _xlpm.hi,70,
 IF(AND(_xlpm.h&gt;=_xlpm.lo, _xlpm.h&lt;=_xlpm.hi), 1,
   IF(_xlpm.h&lt;_xlpm.lo, MAX(0, 1 - (_xlpm.lo - _xlpm.h)/(_xlpm.lo*0.5)),
             MAX(0, 1 - (_xlpm.h - _xlpm.hi)/(_xlpm.hi*0.5))
   )
 )
)</f>
        <v>1</v>
      </c>
      <c r="H260" s="2">
        <f t="shared" si="1"/>
        <v>1</v>
      </c>
      <c r="I260" s="2" t="b">
        <f>IF(OR(dss_report!$D260=TRUE, H260&lt;0.3), TRUE, FALSE)</f>
        <v>0</v>
      </c>
      <c r="J260" s="2" t="b">
        <f>IF( OR( AND(dss_report!$B260&gt;31, dss_report!$C260&lt;38), H260&lt;0.25 ), TRUE, FALSE)</f>
        <v>0</v>
      </c>
      <c r="K260" s="2">
        <f t="shared" si="2"/>
        <v>0</v>
      </c>
      <c r="L260" s="2">
        <f t="shared" si="3"/>
        <v>0</v>
      </c>
      <c r="M260" s="2">
        <f t="shared" si="4"/>
        <v>0</v>
      </c>
      <c r="N260" s="2">
        <f t="shared" si="5"/>
        <v>1</v>
      </c>
      <c r="O260" s="2">
        <f t="shared" si="6"/>
        <v>0</v>
      </c>
      <c r="P260" s="2">
        <f t="shared" si="7"/>
        <v>0</v>
      </c>
    </row>
    <row r="261" ht="14.25" customHeight="1">
      <c r="A261" s="4">
        <v>45446.697916666664</v>
      </c>
      <c r="B261" s="1">
        <v>22.14327795196942</v>
      </c>
      <c r="C261" s="1">
        <v>44.97825396298629</v>
      </c>
      <c r="D261" s="1" t="b">
        <f>IF(AND(dss_report!$B261&gt;30, dss_report!$C261&lt;40), TRUE, FALSE)</f>
        <v>0</v>
      </c>
      <c r="E261" s="1"/>
      <c r="F261" s="2">
        <f>LET(
 _xlpm.t,dss_report!$B261, _xlpm.lo,18, _xlpm.hi,28,
 IF(AND(_xlpm.t&gt;=_xlpm.lo, _xlpm.t&lt;=_xlpm.hi), 1,
   IF(_xlpm.t&lt;_xlpm.lo, MAX(0, 1 - (_xlpm.lo - _xlpm.t)/(_xlpm.lo*0.5)),
             MAX(0, 1 - (_xlpm.t - _xlpm.hi)/(_xlpm.hi*0.5))
   )
 )
)</f>
        <v>1</v>
      </c>
      <c r="G261" s="2">
        <f>LET(
 _xlpm.h,dss_report!$C261, _xlpm.lo,45, _xlpm.hi,70,
 IF(AND(_xlpm.h&gt;=_xlpm.lo, _xlpm.h&lt;=_xlpm.hi), 1,
   IF(_xlpm.h&lt;_xlpm.lo, MAX(0, 1 - (_xlpm.lo - _xlpm.h)/(_xlpm.lo*0.5)),
             MAX(0, 1 - (_xlpm.h - _xlpm.hi)/(_xlpm.hi*0.5))
   )
 )
)</f>
        <v>0.9990335095</v>
      </c>
      <c r="H261" s="2">
        <f t="shared" si="1"/>
        <v>0.9996134038</v>
      </c>
      <c r="I261" s="2" t="b">
        <f>IF(OR(dss_report!$D261=TRUE, H261&lt;0.3), TRUE, FALSE)</f>
        <v>0</v>
      </c>
      <c r="J261" s="2" t="b">
        <f>IF( OR( AND(dss_report!$B261&gt;31, dss_report!$C261&lt;38), H261&lt;0.25 ), TRUE, FALSE)</f>
        <v>0</v>
      </c>
      <c r="K261" s="2">
        <f t="shared" si="2"/>
        <v>0</v>
      </c>
      <c r="L261" s="2">
        <f t="shared" si="3"/>
        <v>0</v>
      </c>
      <c r="M261" s="2">
        <f t="shared" si="4"/>
        <v>0</v>
      </c>
      <c r="N261" s="2">
        <f t="shared" si="5"/>
        <v>1</v>
      </c>
      <c r="O261" s="2">
        <f t="shared" si="6"/>
        <v>0</v>
      </c>
      <c r="P261" s="2">
        <f t="shared" si="7"/>
        <v>0</v>
      </c>
    </row>
    <row r="262" ht="14.25" customHeight="1">
      <c r="A262" s="4">
        <v>45446.708333333336</v>
      </c>
      <c r="B262" s="1">
        <v>21.664583123672397</v>
      </c>
      <c r="C262" s="1">
        <v>47.74359490487685</v>
      </c>
      <c r="D262" s="1" t="b">
        <f>IF(AND(dss_report!$B262&gt;30, dss_report!$C262&lt;40), TRUE, FALSE)</f>
        <v>0</v>
      </c>
      <c r="E262" s="1"/>
      <c r="F262" s="2">
        <f>LET(
 _xlpm.t,dss_report!$B262, _xlpm.lo,18, _xlpm.hi,28,
 IF(AND(_xlpm.t&gt;=_xlpm.lo, _xlpm.t&lt;=_xlpm.hi), 1,
   IF(_xlpm.t&lt;_xlpm.lo, MAX(0, 1 - (_xlpm.lo - _xlpm.t)/(_xlpm.lo*0.5)),
             MAX(0, 1 - (_xlpm.t - _xlpm.hi)/(_xlpm.hi*0.5))
   )
 )
)</f>
        <v>1</v>
      </c>
      <c r="G262" s="2">
        <f>LET(
 _xlpm.h,dss_report!$C262, _xlpm.lo,45, _xlpm.hi,70,
 IF(AND(_xlpm.h&gt;=_xlpm.lo, _xlpm.h&lt;=_xlpm.hi), 1,
   IF(_xlpm.h&lt;_xlpm.lo, MAX(0, 1 - (_xlpm.lo - _xlpm.h)/(_xlpm.lo*0.5)),
             MAX(0, 1 - (_xlpm.h - _xlpm.hi)/(_xlpm.hi*0.5))
   )
 )
)</f>
        <v>1</v>
      </c>
      <c r="H262" s="2">
        <f t="shared" si="1"/>
        <v>1</v>
      </c>
      <c r="I262" s="2" t="b">
        <f>IF(OR(dss_report!$D262=TRUE, H262&lt;0.3), TRUE, FALSE)</f>
        <v>0</v>
      </c>
      <c r="J262" s="2" t="b">
        <f>IF( OR( AND(dss_report!$B262&gt;31, dss_report!$C262&lt;38), H262&lt;0.25 ), TRUE, FALSE)</f>
        <v>0</v>
      </c>
      <c r="K262" s="2">
        <f t="shared" si="2"/>
        <v>0</v>
      </c>
      <c r="L262" s="2">
        <f t="shared" si="3"/>
        <v>0</v>
      </c>
      <c r="M262" s="2">
        <f t="shared" si="4"/>
        <v>0</v>
      </c>
      <c r="N262" s="2">
        <f t="shared" si="5"/>
        <v>1</v>
      </c>
      <c r="O262" s="2">
        <f t="shared" si="6"/>
        <v>0</v>
      </c>
      <c r="P262" s="2">
        <f t="shared" si="7"/>
        <v>0</v>
      </c>
    </row>
    <row r="263" ht="14.25" customHeight="1">
      <c r="A263" s="4">
        <v>45446.71875</v>
      </c>
      <c r="B263" s="1">
        <v>20.759013377991515</v>
      </c>
      <c r="C263" s="1">
        <v>50.56729105160062</v>
      </c>
      <c r="D263" s="1" t="b">
        <f>IF(AND(dss_report!$B263&gt;30, dss_report!$C263&lt;40), TRUE, FALSE)</f>
        <v>0</v>
      </c>
      <c r="E263" s="1"/>
      <c r="F263" s="2">
        <f>LET(
 _xlpm.t,dss_report!$B263, _xlpm.lo,18, _xlpm.hi,28,
 IF(AND(_xlpm.t&gt;=_xlpm.lo, _xlpm.t&lt;=_xlpm.hi), 1,
   IF(_xlpm.t&lt;_xlpm.lo, MAX(0, 1 - (_xlpm.lo - _xlpm.t)/(_xlpm.lo*0.5)),
             MAX(0, 1 - (_xlpm.t - _xlpm.hi)/(_xlpm.hi*0.5))
   )
 )
)</f>
        <v>1</v>
      </c>
      <c r="G263" s="2">
        <f>LET(
 _xlpm.h,dss_report!$C263, _xlpm.lo,45, _xlpm.hi,70,
 IF(AND(_xlpm.h&gt;=_xlpm.lo, _xlpm.h&lt;=_xlpm.hi), 1,
   IF(_xlpm.h&lt;_xlpm.lo, MAX(0, 1 - (_xlpm.lo - _xlpm.h)/(_xlpm.lo*0.5)),
             MAX(0, 1 - (_xlpm.h - _xlpm.hi)/(_xlpm.hi*0.5))
   )
 )
)</f>
        <v>1</v>
      </c>
      <c r="H263" s="2">
        <f t="shared" si="1"/>
        <v>1</v>
      </c>
      <c r="I263" s="2" t="b">
        <f>IF(OR(dss_report!$D263=TRUE, H263&lt;0.3), TRUE, FALSE)</f>
        <v>0</v>
      </c>
      <c r="J263" s="2" t="b">
        <f>IF( OR( AND(dss_report!$B263&gt;31, dss_report!$C263&lt;38), H263&lt;0.25 ), TRUE, FALSE)</f>
        <v>0</v>
      </c>
      <c r="K263" s="2">
        <f t="shared" si="2"/>
        <v>0</v>
      </c>
      <c r="L263" s="2">
        <f t="shared" si="3"/>
        <v>0</v>
      </c>
      <c r="M263" s="2">
        <f t="shared" si="4"/>
        <v>0</v>
      </c>
      <c r="N263" s="2">
        <f t="shared" si="5"/>
        <v>1</v>
      </c>
      <c r="O263" s="2">
        <f t="shared" si="6"/>
        <v>0</v>
      </c>
      <c r="P263" s="2">
        <f t="shared" si="7"/>
        <v>0</v>
      </c>
    </row>
    <row r="264" ht="14.25" customHeight="1">
      <c r="A264" s="4">
        <v>45446.729166666664</v>
      </c>
      <c r="B264" s="1">
        <v>20.854419144358175</v>
      </c>
      <c r="C264" s="1">
        <v>48.41093545143839</v>
      </c>
      <c r="D264" s="1" t="b">
        <f>IF(AND(dss_report!$B264&gt;30, dss_report!$C264&lt;40), TRUE, FALSE)</f>
        <v>0</v>
      </c>
      <c r="E264" s="1"/>
      <c r="F264" s="2">
        <f>LET(
 _xlpm.t,dss_report!$B264, _xlpm.lo,18, _xlpm.hi,28,
 IF(AND(_xlpm.t&gt;=_xlpm.lo, _xlpm.t&lt;=_xlpm.hi), 1,
   IF(_xlpm.t&lt;_xlpm.lo, MAX(0, 1 - (_xlpm.lo - _xlpm.t)/(_xlpm.lo*0.5)),
             MAX(0, 1 - (_xlpm.t - _xlpm.hi)/(_xlpm.hi*0.5))
   )
 )
)</f>
        <v>1</v>
      </c>
      <c r="G264" s="2">
        <f>LET(
 _xlpm.h,dss_report!$C264, _xlpm.lo,45, _xlpm.hi,70,
 IF(AND(_xlpm.h&gt;=_xlpm.lo, _xlpm.h&lt;=_xlpm.hi), 1,
   IF(_xlpm.h&lt;_xlpm.lo, MAX(0, 1 - (_xlpm.lo - _xlpm.h)/(_xlpm.lo*0.5)),
             MAX(0, 1 - (_xlpm.h - _xlpm.hi)/(_xlpm.hi*0.5))
   )
 )
)</f>
        <v>1</v>
      </c>
      <c r="H264" s="2">
        <f t="shared" si="1"/>
        <v>1</v>
      </c>
      <c r="I264" s="2" t="b">
        <f>IF(OR(dss_report!$D264=TRUE, H264&lt;0.3), TRUE, FALSE)</f>
        <v>0</v>
      </c>
      <c r="J264" s="2" t="b">
        <f>IF( OR( AND(dss_report!$B264&gt;31, dss_report!$C264&lt;38), H264&lt;0.25 ), TRUE, FALSE)</f>
        <v>0</v>
      </c>
      <c r="K264" s="2">
        <f t="shared" si="2"/>
        <v>0</v>
      </c>
      <c r="L264" s="2">
        <f t="shared" si="3"/>
        <v>0</v>
      </c>
      <c r="M264" s="2">
        <f t="shared" si="4"/>
        <v>0</v>
      </c>
      <c r="N264" s="2">
        <f t="shared" si="5"/>
        <v>1</v>
      </c>
      <c r="O264" s="2">
        <f t="shared" si="6"/>
        <v>0</v>
      </c>
      <c r="P264" s="2">
        <f t="shared" si="7"/>
        <v>0</v>
      </c>
    </row>
    <row r="265" ht="14.25" customHeight="1">
      <c r="A265" s="4">
        <v>45446.739583333336</v>
      </c>
      <c r="B265" s="1">
        <v>21.14164210650557</v>
      </c>
      <c r="C265" s="1">
        <v>45.1412201198015</v>
      </c>
      <c r="D265" s="1" t="b">
        <f>IF(AND(dss_report!$B265&gt;30, dss_report!$C265&lt;40), TRUE, FALSE)</f>
        <v>0</v>
      </c>
      <c r="E265" s="1"/>
      <c r="F265" s="2">
        <f>LET(
 _xlpm.t,dss_report!$B265, _xlpm.lo,18, _xlpm.hi,28,
 IF(AND(_xlpm.t&gt;=_xlpm.lo, _xlpm.t&lt;=_xlpm.hi), 1,
   IF(_xlpm.t&lt;_xlpm.lo, MAX(0, 1 - (_xlpm.lo - _xlpm.t)/(_xlpm.lo*0.5)),
             MAX(0, 1 - (_xlpm.t - _xlpm.hi)/(_xlpm.hi*0.5))
   )
 )
)</f>
        <v>1</v>
      </c>
      <c r="G265" s="2">
        <f>LET(
 _xlpm.h,dss_report!$C265, _xlpm.lo,45, _xlpm.hi,70,
 IF(AND(_xlpm.h&gt;=_xlpm.lo, _xlpm.h&lt;=_xlpm.hi), 1,
   IF(_xlpm.h&lt;_xlpm.lo, MAX(0, 1 - (_xlpm.lo - _xlpm.h)/(_xlpm.lo*0.5)),
             MAX(0, 1 - (_xlpm.h - _xlpm.hi)/(_xlpm.hi*0.5))
   )
 )
)</f>
        <v>1</v>
      </c>
      <c r="H265" s="2">
        <f t="shared" si="1"/>
        <v>1</v>
      </c>
      <c r="I265" s="2" t="b">
        <f>IF(OR(dss_report!$D265=TRUE, H265&lt;0.3), TRUE, FALSE)</f>
        <v>0</v>
      </c>
      <c r="J265" s="2" t="b">
        <f>IF( OR( AND(dss_report!$B265&gt;31, dss_report!$C265&lt;38), H265&lt;0.25 ), TRUE, FALSE)</f>
        <v>0</v>
      </c>
      <c r="K265" s="2">
        <f t="shared" si="2"/>
        <v>0</v>
      </c>
      <c r="L265" s="2">
        <f t="shared" si="3"/>
        <v>0</v>
      </c>
      <c r="M265" s="2">
        <f t="shared" si="4"/>
        <v>0</v>
      </c>
      <c r="N265" s="2">
        <f t="shared" si="5"/>
        <v>1</v>
      </c>
      <c r="O265" s="2">
        <f t="shared" si="6"/>
        <v>0</v>
      </c>
      <c r="P265" s="2">
        <f t="shared" si="7"/>
        <v>0</v>
      </c>
    </row>
    <row r="266" ht="14.25" customHeight="1">
      <c r="A266" s="4">
        <v>45446.75</v>
      </c>
      <c r="B266" s="1">
        <v>20.486736689713865</v>
      </c>
      <c r="C266" s="1">
        <v>45.084791637315035</v>
      </c>
      <c r="D266" s="1" t="b">
        <f>IF(AND(dss_report!$B266&gt;30, dss_report!$C266&lt;40), TRUE, FALSE)</f>
        <v>0</v>
      </c>
      <c r="E266" s="1"/>
      <c r="F266" s="2">
        <f>LET(
 _xlpm.t,dss_report!$B266, _xlpm.lo,18, _xlpm.hi,28,
 IF(AND(_xlpm.t&gt;=_xlpm.lo, _xlpm.t&lt;=_xlpm.hi), 1,
   IF(_xlpm.t&lt;_xlpm.lo, MAX(0, 1 - (_xlpm.lo - _xlpm.t)/(_xlpm.lo*0.5)),
             MAX(0, 1 - (_xlpm.t - _xlpm.hi)/(_xlpm.hi*0.5))
   )
 )
)</f>
        <v>1</v>
      </c>
      <c r="G266" s="2">
        <f>LET(
 _xlpm.h,dss_report!$C266, _xlpm.lo,45, _xlpm.hi,70,
 IF(AND(_xlpm.h&gt;=_xlpm.lo, _xlpm.h&lt;=_xlpm.hi), 1,
   IF(_xlpm.h&lt;_xlpm.lo, MAX(0, 1 - (_xlpm.lo - _xlpm.h)/(_xlpm.lo*0.5)),
             MAX(0, 1 - (_xlpm.h - _xlpm.hi)/(_xlpm.hi*0.5))
   )
 )
)</f>
        <v>1</v>
      </c>
      <c r="H266" s="2">
        <f t="shared" si="1"/>
        <v>1</v>
      </c>
      <c r="I266" s="2" t="b">
        <f>IF(OR(dss_report!$D266=TRUE, H266&lt;0.3), TRUE, FALSE)</f>
        <v>0</v>
      </c>
      <c r="J266" s="2" t="b">
        <f>IF( OR( AND(dss_report!$B266&gt;31, dss_report!$C266&lt;38), H266&lt;0.25 ), TRUE, FALSE)</f>
        <v>0</v>
      </c>
      <c r="K266" s="2">
        <f t="shared" si="2"/>
        <v>0</v>
      </c>
      <c r="L266" s="2">
        <f t="shared" si="3"/>
        <v>0</v>
      </c>
      <c r="M266" s="2">
        <f t="shared" si="4"/>
        <v>0</v>
      </c>
      <c r="N266" s="2">
        <f t="shared" si="5"/>
        <v>1</v>
      </c>
      <c r="O266" s="2">
        <f t="shared" si="6"/>
        <v>0</v>
      </c>
      <c r="P266" s="2">
        <f t="shared" si="7"/>
        <v>0</v>
      </c>
    </row>
    <row r="267" ht="14.25" customHeight="1">
      <c r="A267" s="4">
        <v>45446.760416666664</v>
      </c>
      <c r="B267" s="1">
        <v>21.001905950882417</v>
      </c>
      <c r="C267" s="1">
        <v>42.09630403561785</v>
      </c>
      <c r="D267" s="1" t="b">
        <f>IF(AND(dss_report!$B267&gt;30, dss_report!$C267&lt;40), TRUE, FALSE)</f>
        <v>0</v>
      </c>
      <c r="E267" s="1"/>
      <c r="F267" s="2">
        <f>LET(
 _xlpm.t,dss_report!$B267, _xlpm.lo,18, _xlpm.hi,28,
 IF(AND(_xlpm.t&gt;=_xlpm.lo, _xlpm.t&lt;=_xlpm.hi), 1,
   IF(_xlpm.t&lt;_xlpm.lo, MAX(0, 1 - (_xlpm.lo - _xlpm.t)/(_xlpm.lo*0.5)),
             MAX(0, 1 - (_xlpm.t - _xlpm.hi)/(_xlpm.hi*0.5))
   )
 )
)</f>
        <v>1</v>
      </c>
      <c r="G267" s="2">
        <f>LET(
 _xlpm.h,dss_report!$C267, _xlpm.lo,45, _xlpm.hi,70,
 IF(AND(_xlpm.h&gt;=_xlpm.lo, _xlpm.h&lt;=_xlpm.hi), 1,
   IF(_xlpm.h&lt;_xlpm.lo, MAX(0, 1 - (_xlpm.lo - _xlpm.h)/(_xlpm.lo*0.5)),
             MAX(0, 1 - (_xlpm.h - _xlpm.hi)/(_xlpm.hi*0.5))
   )
 )
)</f>
        <v>0.870946846</v>
      </c>
      <c r="H267" s="2">
        <f t="shared" si="1"/>
        <v>0.9483787384</v>
      </c>
      <c r="I267" s="2" t="b">
        <f>IF(OR(dss_report!$D267=TRUE, H267&lt;0.3), TRUE, FALSE)</f>
        <v>0</v>
      </c>
      <c r="J267" s="2" t="b">
        <f>IF( OR( AND(dss_report!$B267&gt;31, dss_report!$C267&lt;38), H267&lt;0.25 ), TRUE, FALSE)</f>
        <v>0</v>
      </c>
      <c r="K267" s="2">
        <f t="shared" si="2"/>
        <v>0</v>
      </c>
      <c r="L267" s="2">
        <f t="shared" si="3"/>
        <v>0</v>
      </c>
      <c r="M267" s="2">
        <f t="shared" si="4"/>
        <v>0</v>
      </c>
      <c r="N267" s="2">
        <f t="shared" si="5"/>
        <v>1</v>
      </c>
      <c r="O267" s="2">
        <f t="shared" si="6"/>
        <v>0</v>
      </c>
      <c r="P267" s="2">
        <f t="shared" si="7"/>
        <v>0</v>
      </c>
    </row>
    <row r="268" ht="14.25" customHeight="1">
      <c r="A268" s="4">
        <v>45446.770833333336</v>
      </c>
      <c r="B268" s="1">
        <v>21.343425018758737</v>
      </c>
      <c r="C268" s="1">
        <v>44.41324231785765</v>
      </c>
      <c r="D268" s="1" t="b">
        <f>IF(AND(dss_report!$B268&gt;30, dss_report!$C268&lt;40), TRUE, FALSE)</f>
        <v>0</v>
      </c>
      <c r="E268" s="1"/>
      <c r="F268" s="2">
        <f>LET(
 _xlpm.t,dss_report!$B268, _xlpm.lo,18, _xlpm.hi,28,
 IF(AND(_xlpm.t&gt;=_xlpm.lo, _xlpm.t&lt;=_xlpm.hi), 1,
   IF(_xlpm.t&lt;_xlpm.lo, MAX(0, 1 - (_xlpm.lo - _xlpm.t)/(_xlpm.lo*0.5)),
             MAX(0, 1 - (_xlpm.t - _xlpm.hi)/(_xlpm.hi*0.5))
   )
 )
)</f>
        <v>1</v>
      </c>
      <c r="G268" s="2">
        <f>LET(
 _xlpm.h,dss_report!$C268, _xlpm.lo,45, _xlpm.hi,70,
 IF(AND(_xlpm.h&gt;=_xlpm.lo, _xlpm.h&lt;=_xlpm.hi), 1,
   IF(_xlpm.h&lt;_xlpm.lo, MAX(0, 1 - (_xlpm.lo - _xlpm.h)/(_xlpm.lo*0.5)),
             MAX(0, 1 - (_xlpm.h - _xlpm.hi)/(_xlpm.hi*0.5))
   )
 )
)</f>
        <v>0.9739218808</v>
      </c>
      <c r="H268" s="2">
        <f t="shared" si="1"/>
        <v>0.9895687523</v>
      </c>
      <c r="I268" s="2" t="b">
        <f>IF(OR(dss_report!$D268=TRUE, H268&lt;0.3), TRUE, FALSE)</f>
        <v>0</v>
      </c>
      <c r="J268" s="2" t="b">
        <f>IF( OR( AND(dss_report!$B268&gt;31, dss_report!$C268&lt;38), H268&lt;0.25 ), TRUE, FALSE)</f>
        <v>0</v>
      </c>
      <c r="K268" s="2">
        <f t="shared" si="2"/>
        <v>0</v>
      </c>
      <c r="L268" s="2">
        <f t="shared" si="3"/>
        <v>0</v>
      </c>
      <c r="M268" s="2">
        <f t="shared" si="4"/>
        <v>0</v>
      </c>
      <c r="N268" s="2">
        <f t="shared" si="5"/>
        <v>1</v>
      </c>
      <c r="O268" s="2">
        <f t="shared" si="6"/>
        <v>0</v>
      </c>
      <c r="P268" s="2">
        <f t="shared" si="7"/>
        <v>0</v>
      </c>
    </row>
    <row r="269" ht="14.25" customHeight="1">
      <c r="A269" s="4">
        <v>45446.78125</v>
      </c>
      <c r="B269" s="1">
        <v>19.898993955660828</v>
      </c>
      <c r="C269" s="1">
        <v>48.997748844946784</v>
      </c>
      <c r="D269" s="1" t="b">
        <f>IF(AND(dss_report!$B269&gt;30, dss_report!$C269&lt;40), TRUE, FALSE)</f>
        <v>0</v>
      </c>
      <c r="E269" s="1"/>
      <c r="F269" s="2">
        <f>LET(
 _xlpm.t,dss_report!$B269, _xlpm.lo,18, _xlpm.hi,28,
 IF(AND(_xlpm.t&gt;=_xlpm.lo, _xlpm.t&lt;=_xlpm.hi), 1,
   IF(_xlpm.t&lt;_xlpm.lo, MAX(0, 1 - (_xlpm.lo - _xlpm.t)/(_xlpm.lo*0.5)),
             MAX(0, 1 - (_xlpm.t - _xlpm.hi)/(_xlpm.hi*0.5))
   )
 )
)</f>
        <v>1</v>
      </c>
      <c r="G269" s="2">
        <f>LET(
 _xlpm.h,dss_report!$C269, _xlpm.lo,45, _xlpm.hi,70,
 IF(AND(_xlpm.h&gt;=_xlpm.lo, _xlpm.h&lt;=_xlpm.hi), 1,
   IF(_xlpm.h&lt;_xlpm.lo, MAX(0, 1 - (_xlpm.lo - _xlpm.h)/(_xlpm.lo*0.5)),
             MAX(0, 1 - (_xlpm.h - _xlpm.hi)/(_xlpm.hi*0.5))
   )
 )
)</f>
        <v>1</v>
      </c>
      <c r="H269" s="2">
        <f t="shared" si="1"/>
        <v>1</v>
      </c>
      <c r="I269" s="2" t="b">
        <f>IF(OR(dss_report!$D269=TRUE, H269&lt;0.3), TRUE, FALSE)</f>
        <v>0</v>
      </c>
      <c r="J269" s="2" t="b">
        <f>IF( OR( AND(dss_report!$B269&gt;31, dss_report!$C269&lt;38), H269&lt;0.25 ), TRUE, FALSE)</f>
        <v>0</v>
      </c>
      <c r="K269" s="2">
        <f t="shared" si="2"/>
        <v>0</v>
      </c>
      <c r="L269" s="2">
        <f t="shared" si="3"/>
        <v>0</v>
      </c>
      <c r="M269" s="2">
        <f t="shared" si="4"/>
        <v>0</v>
      </c>
      <c r="N269" s="2">
        <f t="shared" si="5"/>
        <v>1</v>
      </c>
      <c r="O269" s="2">
        <f t="shared" si="6"/>
        <v>0</v>
      </c>
      <c r="P269" s="2">
        <f t="shared" si="7"/>
        <v>0</v>
      </c>
    </row>
    <row r="270" ht="14.25" customHeight="1">
      <c r="A270" s="4">
        <v>45446.791666666664</v>
      </c>
      <c r="B270" s="1">
        <v>19.150051126904597</v>
      </c>
      <c r="C270" s="1">
        <v>45.43277055443144</v>
      </c>
      <c r="D270" s="1" t="b">
        <f>IF(AND(dss_report!$B270&gt;30, dss_report!$C270&lt;40), TRUE, FALSE)</f>
        <v>0</v>
      </c>
      <c r="E270" s="1"/>
      <c r="F270" s="2">
        <f>LET(
 _xlpm.t,dss_report!$B270, _xlpm.lo,18, _xlpm.hi,28,
 IF(AND(_xlpm.t&gt;=_xlpm.lo, _xlpm.t&lt;=_xlpm.hi), 1,
   IF(_xlpm.t&lt;_xlpm.lo, MAX(0, 1 - (_xlpm.lo - _xlpm.t)/(_xlpm.lo*0.5)),
             MAX(0, 1 - (_xlpm.t - _xlpm.hi)/(_xlpm.hi*0.5))
   )
 )
)</f>
        <v>1</v>
      </c>
      <c r="G270" s="2">
        <f>LET(
 _xlpm.h,dss_report!$C270, _xlpm.lo,45, _xlpm.hi,70,
 IF(AND(_xlpm.h&gt;=_xlpm.lo, _xlpm.h&lt;=_xlpm.hi), 1,
   IF(_xlpm.h&lt;_xlpm.lo, MAX(0, 1 - (_xlpm.lo - _xlpm.h)/(_xlpm.lo*0.5)),
             MAX(0, 1 - (_xlpm.h - _xlpm.hi)/(_xlpm.hi*0.5))
   )
 )
)</f>
        <v>1</v>
      </c>
      <c r="H270" s="2">
        <f t="shared" si="1"/>
        <v>1</v>
      </c>
      <c r="I270" s="2" t="b">
        <f>IF(OR(dss_report!$D270=TRUE, H270&lt;0.3), TRUE, FALSE)</f>
        <v>0</v>
      </c>
      <c r="J270" s="2" t="b">
        <f>IF( OR( AND(dss_report!$B270&gt;31, dss_report!$C270&lt;38), H270&lt;0.25 ), TRUE, FALSE)</f>
        <v>0</v>
      </c>
      <c r="K270" s="2">
        <f t="shared" si="2"/>
        <v>0</v>
      </c>
      <c r="L270" s="2">
        <f t="shared" si="3"/>
        <v>0</v>
      </c>
      <c r="M270" s="2">
        <f t="shared" si="4"/>
        <v>0</v>
      </c>
      <c r="N270" s="2">
        <f t="shared" si="5"/>
        <v>1</v>
      </c>
      <c r="O270" s="2">
        <f t="shared" si="6"/>
        <v>0</v>
      </c>
      <c r="P270" s="2">
        <f t="shared" si="7"/>
        <v>0</v>
      </c>
    </row>
    <row r="271" ht="14.25" customHeight="1">
      <c r="A271" s="4">
        <v>45446.802083333336</v>
      </c>
      <c r="B271" s="1">
        <v>21.15992757613539</v>
      </c>
      <c r="C271" s="1">
        <v>43.65418850056066</v>
      </c>
      <c r="D271" s="1" t="b">
        <f>IF(AND(dss_report!$B271&gt;30, dss_report!$C271&lt;40), TRUE, FALSE)</f>
        <v>0</v>
      </c>
      <c r="E271" s="1"/>
      <c r="F271" s="2">
        <f>LET(
 _xlpm.t,dss_report!$B271, _xlpm.lo,18, _xlpm.hi,28,
 IF(AND(_xlpm.t&gt;=_xlpm.lo, _xlpm.t&lt;=_xlpm.hi), 1,
   IF(_xlpm.t&lt;_xlpm.lo, MAX(0, 1 - (_xlpm.lo - _xlpm.t)/(_xlpm.lo*0.5)),
             MAX(0, 1 - (_xlpm.t - _xlpm.hi)/(_xlpm.hi*0.5))
   )
 )
)</f>
        <v>1</v>
      </c>
      <c r="G271" s="2">
        <f>LET(
 _xlpm.h,dss_report!$C271, _xlpm.lo,45, _xlpm.hi,70,
 IF(AND(_xlpm.h&gt;=_xlpm.lo, _xlpm.h&lt;=_xlpm.hi), 1,
   IF(_xlpm.h&lt;_xlpm.lo, MAX(0, 1 - (_xlpm.lo - _xlpm.h)/(_xlpm.lo*0.5)),
             MAX(0, 1 - (_xlpm.h - _xlpm.hi)/(_xlpm.hi*0.5))
   )
 )
)</f>
        <v>0.9401861556</v>
      </c>
      <c r="H271" s="2">
        <f t="shared" si="1"/>
        <v>0.9760744622</v>
      </c>
      <c r="I271" s="2" t="b">
        <f>IF(OR(dss_report!$D271=TRUE, H271&lt;0.3), TRUE, FALSE)</f>
        <v>0</v>
      </c>
      <c r="J271" s="2" t="b">
        <f>IF( OR( AND(dss_report!$B271&gt;31, dss_report!$C271&lt;38), H271&lt;0.25 ), TRUE, FALSE)</f>
        <v>0</v>
      </c>
      <c r="K271" s="2">
        <f t="shared" si="2"/>
        <v>0</v>
      </c>
      <c r="L271" s="2">
        <f t="shared" si="3"/>
        <v>0</v>
      </c>
      <c r="M271" s="2">
        <f t="shared" si="4"/>
        <v>0</v>
      </c>
      <c r="N271" s="2">
        <f t="shared" si="5"/>
        <v>1</v>
      </c>
      <c r="O271" s="2">
        <f t="shared" si="6"/>
        <v>0</v>
      </c>
      <c r="P271" s="2">
        <f t="shared" si="7"/>
        <v>0</v>
      </c>
    </row>
    <row r="272" ht="14.25" customHeight="1">
      <c r="A272" s="4">
        <v>45446.8125</v>
      </c>
      <c r="B272" s="1">
        <v>20.277546186751543</v>
      </c>
      <c r="C272" s="1">
        <v>44.00895936112943</v>
      </c>
      <c r="D272" s="1" t="b">
        <f>IF(AND(dss_report!$B272&gt;30, dss_report!$C272&lt;40), TRUE, FALSE)</f>
        <v>0</v>
      </c>
      <c r="E272" s="1"/>
      <c r="F272" s="2">
        <f>LET(
 _xlpm.t,dss_report!$B272, _xlpm.lo,18, _xlpm.hi,28,
 IF(AND(_xlpm.t&gt;=_xlpm.lo, _xlpm.t&lt;=_xlpm.hi), 1,
   IF(_xlpm.t&lt;_xlpm.lo, MAX(0, 1 - (_xlpm.lo - _xlpm.t)/(_xlpm.lo*0.5)),
             MAX(0, 1 - (_xlpm.t - _xlpm.hi)/(_xlpm.hi*0.5))
   )
 )
)</f>
        <v>1</v>
      </c>
      <c r="G272" s="2">
        <f>LET(
 _xlpm.h,dss_report!$C272, _xlpm.lo,45, _xlpm.hi,70,
 IF(AND(_xlpm.h&gt;=_xlpm.lo, _xlpm.h&lt;=_xlpm.hi), 1,
   IF(_xlpm.h&lt;_xlpm.lo, MAX(0, 1 - (_xlpm.lo - _xlpm.h)/(_xlpm.lo*0.5)),
             MAX(0, 1 - (_xlpm.h - _xlpm.hi)/(_xlpm.hi*0.5))
   )
 )
)</f>
        <v>0.9559537494</v>
      </c>
      <c r="H272" s="2">
        <f t="shared" si="1"/>
        <v>0.9823814998</v>
      </c>
      <c r="I272" s="2" t="b">
        <f>IF(OR(dss_report!$D272=TRUE, H272&lt;0.3), TRUE, FALSE)</f>
        <v>0</v>
      </c>
      <c r="J272" s="2" t="b">
        <f>IF( OR( AND(dss_report!$B272&gt;31, dss_report!$C272&lt;38), H272&lt;0.25 ), TRUE, FALSE)</f>
        <v>0</v>
      </c>
      <c r="K272" s="2">
        <f t="shared" si="2"/>
        <v>0</v>
      </c>
      <c r="L272" s="2">
        <f t="shared" si="3"/>
        <v>0</v>
      </c>
      <c r="M272" s="2">
        <f t="shared" si="4"/>
        <v>0</v>
      </c>
      <c r="N272" s="2">
        <f t="shared" si="5"/>
        <v>1</v>
      </c>
      <c r="O272" s="2">
        <f t="shared" si="6"/>
        <v>0</v>
      </c>
      <c r="P272" s="2">
        <f t="shared" si="7"/>
        <v>0</v>
      </c>
    </row>
    <row r="273" ht="14.25" customHeight="1">
      <c r="A273" s="4">
        <v>45446.822916666664</v>
      </c>
      <c r="B273" s="1">
        <v>20.707716090121387</v>
      </c>
      <c r="C273" s="1">
        <v>44.74149863873705</v>
      </c>
      <c r="D273" s="1" t="b">
        <f>IF(AND(dss_report!$B273&gt;30, dss_report!$C273&lt;40), TRUE, FALSE)</f>
        <v>0</v>
      </c>
      <c r="E273" s="1"/>
      <c r="F273" s="2">
        <f>LET(
 _xlpm.t,dss_report!$B273, _xlpm.lo,18, _xlpm.hi,28,
 IF(AND(_xlpm.t&gt;=_xlpm.lo, _xlpm.t&lt;=_xlpm.hi), 1,
   IF(_xlpm.t&lt;_xlpm.lo, MAX(0, 1 - (_xlpm.lo - _xlpm.t)/(_xlpm.lo*0.5)),
             MAX(0, 1 - (_xlpm.t - _xlpm.hi)/(_xlpm.hi*0.5))
   )
 )
)</f>
        <v>1</v>
      </c>
      <c r="G273" s="2">
        <f>LET(
 _xlpm.h,dss_report!$C273, _xlpm.lo,45, _xlpm.hi,70,
 IF(AND(_xlpm.h&gt;=_xlpm.lo, _xlpm.h&lt;=_xlpm.hi), 1,
   IF(_xlpm.h&lt;_xlpm.lo, MAX(0, 1 - (_xlpm.lo - _xlpm.h)/(_xlpm.lo*0.5)),
             MAX(0, 1 - (_xlpm.h - _xlpm.hi)/(_xlpm.hi*0.5))
   )
 )
)</f>
        <v>0.9885110506</v>
      </c>
      <c r="H273" s="2">
        <f t="shared" si="1"/>
        <v>0.9954044202</v>
      </c>
      <c r="I273" s="2" t="b">
        <f>IF(OR(dss_report!$D273=TRUE, H273&lt;0.3), TRUE, FALSE)</f>
        <v>0</v>
      </c>
      <c r="J273" s="2" t="b">
        <f>IF( OR( AND(dss_report!$B273&gt;31, dss_report!$C273&lt;38), H273&lt;0.25 ), TRUE, FALSE)</f>
        <v>0</v>
      </c>
      <c r="K273" s="2">
        <f t="shared" si="2"/>
        <v>0</v>
      </c>
      <c r="L273" s="2">
        <f t="shared" si="3"/>
        <v>0</v>
      </c>
      <c r="M273" s="2">
        <f t="shared" si="4"/>
        <v>0</v>
      </c>
      <c r="N273" s="2">
        <f t="shared" si="5"/>
        <v>1</v>
      </c>
      <c r="O273" s="2">
        <f t="shared" si="6"/>
        <v>0</v>
      </c>
      <c r="P273" s="2">
        <f t="shared" si="7"/>
        <v>0</v>
      </c>
    </row>
    <row r="274" ht="14.25" customHeight="1">
      <c r="A274" s="4">
        <v>45446.833333333336</v>
      </c>
      <c r="B274" s="1">
        <v>19.231437108643007</v>
      </c>
      <c r="C274" s="1">
        <v>44.55668245115497</v>
      </c>
      <c r="D274" s="1" t="b">
        <f>IF(AND(dss_report!$B274&gt;30, dss_report!$C274&lt;40), TRUE, FALSE)</f>
        <v>0</v>
      </c>
      <c r="E274" s="1"/>
      <c r="F274" s="2">
        <f>LET(
 _xlpm.t,dss_report!$B274, _xlpm.lo,18, _xlpm.hi,28,
 IF(AND(_xlpm.t&gt;=_xlpm.lo, _xlpm.t&lt;=_xlpm.hi), 1,
   IF(_xlpm.t&lt;_xlpm.lo, MAX(0, 1 - (_xlpm.lo - _xlpm.t)/(_xlpm.lo*0.5)),
             MAX(0, 1 - (_xlpm.t - _xlpm.hi)/(_xlpm.hi*0.5))
   )
 )
)</f>
        <v>1</v>
      </c>
      <c r="G274" s="2">
        <f>LET(
 _xlpm.h,dss_report!$C274, _xlpm.lo,45, _xlpm.hi,70,
 IF(AND(_xlpm.h&gt;=_xlpm.lo, _xlpm.h&lt;=_xlpm.hi), 1,
   IF(_xlpm.h&lt;_xlpm.lo, MAX(0, 1 - (_xlpm.lo - _xlpm.h)/(_xlpm.lo*0.5)),
             MAX(0, 1 - (_xlpm.h - _xlpm.hi)/(_xlpm.hi*0.5))
   )
 )
)</f>
        <v>0.9802969978</v>
      </c>
      <c r="H274" s="2">
        <f t="shared" si="1"/>
        <v>0.9921187991</v>
      </c>
      <c r="I274" s="2" t="b">
        <f>IF(OR(dss_report!$D274=TRUE, H274&lt;0.3), TRUE, FALSE)</f>
        <v>0</v>
      </c>
      <c r="J274" s="2" t="b">
        <f>IF( OR( AND(dss_report!$B274&gt;31, dss_report!$C274&lt;38), H274&lt;0.25 ), TRUE, FALSE)</f>
        <v>0</v>
      </c>
      <c r="K274" s="2">
        <f t="shared" si="2"/>
        <v>0</v>
      </c>
      <c r="L274" s="2">
        <f t="shared" si="3"/>
        <v>0</v>
      </c>
      <c r="M274" s="2">
        <f t="shared" si="4"/>
        <v>0</v>
      </c>
      <c r="N274" s="2">
        <f t="shared" si="5"/>
        <v>1</v>
      </c>
      <c r="O274" s="2">
        <f t="shared" si="6"/>
        <v>0</v>
      </c>
      <c r="P274" s="2">
        <f t="shared" si="7"/>
        <v>0</v>
      </c>
    </row>
    <row r="275" ht="14.25" customHeight="1">
      <c r="A275" s="4">
        <v>45446.84375</v>
      </c>
      <c r="B275" s="1">
        <v>21.335493728577394</v>
      </c>
      <c r="C275" s="1">
        <v>43.87380000051468</v>
      </c>
      <c r="D275" s="1" t="b">
        <f>IF(AND(dss_report!$B275&gt;30, dss_report!$C275&lt;40), TRUE, FALSE)</f>
        <v>0</v>
      </c>
      <c r="E275" s="1"/>
      <c r="F275" s="2">
        <f>LET(
 _xlpm.t,dss_report!$B275, _xlpm.lo,18, _xlpm.hi,28,
 IF(AND(_xlpm.t&gt;=_xlpm.lo, _xlpm.t&lt;=_xlpm.hi), 1,
   IF(_xlpm.t&lt;_xlpm.lo, MAX(0, 1 - (_xlpm.lo - _xlpm.t)/(_xlpm.lo*0.5)),
             MAX(0, 1 - (_xlpm.t - _xlpm.hi)/(_xlpm.hi*0.5))
   )
 )
)</f>
        <v>1</v>
      </c>
      <c r="G275" s="2">
        <f>LET(
 _xlpm.h,dss_report!$C275, _xlpm.lo,45, _xlpm.hi,70,
 IF(AND(_xlpm.h&gt;=_xlpm.lo, _xlpm.h&lt;=_xlpm.hi), 1,
   IF(_xlpm.h&lt;_xlpm.lo, MAX(0, 1 - (_xlpm.lo - _xlpm.h)/(_xlpm.lo*0.5)),
             MAX(0, 1 - (_xlpm.h - _xlpm.hi)/(_xlpm.hi*0.5))
   )
 )
)</f>
        <v>0.9499466667</v>
      </c>
      <c r="H275" s="2">
        <f t="shared" si="1"/>
        <v>0.9799786667</v>
      </c>
      <c r="I275" s="2" t="b">
        <f>IF(OR(dss_report!$D275=TRUE, H275&lt;0.3), TRUE, FALSE)</f>
        <v>0</v>
      </c>
      <c r="J275" s="2" t="b">
        <f>IF( OR( AND(dss_report!$B275&gt;31, dss_report!$C275&lt;38), H275&lt;0.25 ), TRUE, FALSE)</f>
        <v>0</v>
      </c>
      <c r="K275" s="2">
        <f t="shared" si="2"/>
        <v>0</v>
      </c>
      <c r="L275" s="2">
        <f t="shared" si="3"/>
        <v>0</v>
      </c>
      <c r="M275" s="2">
        <f t="shared" si="4"/>
        <v>0</v>
      </c>
      <c r="N275" s="2">
        <f t="shared" si="5"/>
        <v>1</v>
      </c>
      <c r="O275" s="2">
        <f t="shared" si="6"/>
        <v>0</v>
      </c>
      <c r="P275" s="2">
        <f t="shared" si="7"/>
        <v>0</v>
      </c>
    </row>
    <row r="276" ht="14.25" customHeight="1">
      <c r="A276" s="4">
        <v>45446.854166666664</v>
      </c>
      <c r="B276" s="1">
        <v>20.6037899216903</v>
      </c>
      <c r="C276" s="1">
        <v>42.86090517330816</v>
      </c>
      <c r="D276" s="1" t="b">
        <f>IF(AND(dss_report!$B276&gt;30, dss_report!$C276&lt;40), TRUE, FALSE)</f>
        <v>0</v>
      </c>
      <c r="E276" s="1"/>
      <c r="F276" s="2">
        <f>LET(
 _xlpm.t,dss_report!$B276, _xlpm.lo,18, _xlpm.hi,28,
 IF(AND(_xlpm.t&gt;=_xlpm.lo, _xlpm.t&lt;=_xlpm.hi), 1,
   IF(_xlpm.t&lt;_xlpm.lo, MAX(0, 1 - (_xlpm.lo - _xlpm.t)/(_xlpm.lo*0.5)),
             MAX(0, 1 - (_xlpm.t - _xlpm.hi)/(_xlpm.hi*0.5))
   )
 )
)</f>
        <v>1</v>
      </c>
      <c r="G276" s="2">
        <f>LET(
 _xlpm.h,dss_report!$C276, _xlpm.lo,45, _xlpm.hi,70,
 IF(AND(_xlpm.h&gt;=_xlpm.lo, _xlpm.h&lt;=_xlpm.hi), 1,
   IF(_xlpm.h&lt;_xlpm.lo, MAX(0, 1 - (_xlpm.lo - _xlpm.h)/(_xlpm.lo*0.5)),
             MAX(0, 1 - (_xlpm.h - _xlpm.hi)/(_xlpm.hi*0.5))
   )
 )
)</f>
        <v>0.9049291188</v>
      </c>
      <c r="H276" s="2">
        <f t="shared" si="1"/>
        <v>0.9619716475</v>
      </c>
      <c r="I276" s="2" t="b">
        <f>IF(OR(dss_report!$D276=TRUE, H276&lt;0.3), TRUE, FALSE)</f>
        <v>0</v>
      </c>
      <c r="J276" s="2" t="b">
        <f>IF( OR( AND(dss_report!$B276&gt;31, dss_report!$C276&lt;38), H276&lt;0.25 ), TRUE, FALSE)</f>
        <v>0</v>
      </c>
      <c r="K276" s="2">
        <f t="shared" si="2"/>
        <v>0</v>
      </c>
      <c r="L276" s="2">
        <f t="shared" si="3"/>
        <v>0</v>
      </c>
      <c r="M276" s="2">
        <f t="shared" si="4"/>
        <v>0</v>
      </c>
      <c r="N276" s="2">
        <f t="shared" si="5"/>
        <v>1</v>
      </c>
      <c r="O276" s="2">
        <f t="shared" si="6"/>
        <v>0</v>
      </c>
      <c r="P276" s="2">
        <f t="shared" si="7"/>
        <v>0</v>
      </c>
    </row>
    <row r="277" ht="14.25" customHeight="1">
      <c r="A277" s="4">
        <v>45446.864583333336</v>
      </c>
      <c r="B277" s="1">
        <v>19.96892535820628</v>
      </c>
      <c r="C277" s="1">
        <v>45.495136011227025</v>
      </c>
      <c r="D277" s="1" t="b">
        <f>IF(AND(dss_report!$B277&gt;30, dss_report!$C277&lt;40), TRUE, FALSE)</f>
        <v>0</v>
      </c>
      <c r="E277" s="1"/>
      <c r="F277" s="2">
        <f>LET(
 _xlpm.t,dss_report!$B277, _xlpm.lo,18, _xlpm.hi,28,
 IF(AND(_xlpm.t&gt;=_xlpm.lo, _xlpm.t&lt;=_xlpm.hi), 1,
   IF(_xlpm.t&lt;_xlpm.lo, MAX(0, 1 - (_xlpm.lo - _xlpm.t)/(_xlpm.lo*0.5)),
             MAX(0, 1 - (_xlpm.t - _xlpm.hi)/(_xlpm.hi*0.5))
   )
 )
)</f>
        <v>1</v>
      </c>
      <c r="G277" s="2">
        <f>LET(
 _xlpm.h,dss_report!$C277, _xlpm.lo,45, _xlpm.hi,70,
 IF(AND(_xlpm.h&gt;=_xlpm.lo, _xlpm.h&lt;=_xlpm.hi), 1,
   IF(_xlpm.h&lt;_xlpm.lo, MAX(0, 1 - (_xlpm.lo - _xlpm.h)/(_xlpm.lo*0.5)),
             MAX(0, 1 - (_xlpm.h - _xlpm.hi)/(_xlpm.hi*0.5))
   )
 )
)</f>
        <v>1</v>
      </c>
      <c r="H277" s="2">
        <f t="shared" si="1"/>
        <v>1</v>
      </c>
      <c r="I277" s="2" t="b">
        <f>IF(OR(dss_report!$D277=TRUE, H277&lt;0.3), TRUE, FALSE)</f>
        <v>0</v>
      </c>
      <c r="J277" s="2" t="b">
        <f>IF( OR( AND(dss_report!$B277&gt;31, dss_report!$C277&lt;38), H277&lt;0.25 ), TRUE, FALSE)</f>
        <v>0</v>
      </c>
      <c r="K277" s="2">
        <f t="shared" si="2"/>
        <v>0</v>
      </c>
      <c r="L277" s="2">
        <f t="shared" si="3"/>
        <v>0</v>
      </c>
      <c r="M277" s="2">
        <f t="shared" si="4"/>
        <v>0</v>
      </c>
      <c r="N277" s="2">
        <f t="shared" si="5"/>
        <v>1</v>
      </c>
      <c r="O277" s="2">
        <f t="shared" si="6"/>
        <v>0</v>
      </c>
      <c r="P277" s="2">
        <f t="shared" si="7"/>
        <v>0</v>
      </c>
    </row>
    <row r="278" ht="14.25" customHeight="1">
      <c r="A278" s="4">
        <v>45446.875</v>
      </c>
      <c r="B278" s="1">
        <v>19.787316988373775</v>
      </c>
      <c r="C278" s="1">
        <v>47.12769756412631</v>
      </c>
      <c r="D278" s="1" t="b">
        <f>IF(AND(dss_report!$B278&gt;30, dss_report!$C278&lt;40), TRUE, FALSE)</f>
        <v>0</v>
      </c>
      <c r="E278" s="1"/>
      <c r="F278" s="2">
        <f>LET(
 _xlpm.t,dss_report!$B278, _xlpm.lo,18, _xlpm.hi,28,
 IF(AND(_xlpm.t&gt;=_xlpm.lo, _xlpm.t&lt;=_xlpm.hi), 1,
   IF(_xlpm.t&lt;_xlpm.lo, MAX(0, 1 - (_xlpm.lo - _xlpm.t)/(_xlpm.lo*0.5)),
             MAX(0, 1 - (_xlpm.t - _xlpm.hi)/(_xlpm.hi*0.5))
   )
 )
)</f>
        <v>1</v>
      </c>
      <c r="G278" s="2">
        <f>LET(
 _xlpm.h,dss_report!$C278, _xlpm.lo,45, _xlpm.hi,70,
 IF(AND(_xlpm.h&gt;=_xlpm.lo, _xlpm.h&lt;=_xlpm.hi), 1,
   IF(_xlpm.h&lt;_xlpm.lo, MAX(0, 1 - (_xlpm.lo - _xlpm.h)/(_xlpm.lo*0.5)),
             MAX(0, 1 - (_xlpm.h - _xlpm.hi)/(_xlpm.hi*0.5))
   )
 )
)</f>
        <v>1</v>
      </c>
      <c r="H278" s="2">
        <f t="shared" si="1"/>
        <v>1</v>
      </c>
      <c r="I278" s="2" t="b">
        <f>IF(OR(dss_report!$D278=TRUE, H278&lt;0.3), TRUE, FALSE)</f>
        <v>0</v>
      </c>
      <c r="J278" s="2" t="b">
        <f>IF( OR( AND(dss_report!$B278&gt;31, dss_report!$C278&lt;38), H278&lt;0.25 ), TRUE, FALSE)</f>
        <v>0</v>
      </c>
      <c r="K278" s="2">
        <f t="shared" si="2"/>
        <v>0</v>
      </c>
      <c r="L278" s="2">
        <f t="shared" si="3"/>
        <v>0</v>
      </c>
      <c r="M278" s="2">
        <f t="shared" si="4"/>
        <v>0</v>
      </c>
      <c r="N278" s="2">
        <f t="shared" si="5"/>
        <v>1</v>
      </c>
      <c r="O278" s="2">
        <f t="shared" si="6"/>
        <v>0</v>
      </c>
      <c r="P278" s="2">
        <f t="shared" si="7"/>
        <v>0</v>
      </c>
    </row>
    <row r="279" ht="14.25" customHeight="1">
      <c r="A279" s="4">
        <v>45446.885416666664</v>
      </c>
      <c r="B279" s="1">
        <v>20.096113491193584</v>
      </c>
      <c r="C279" s="1">
        <v>42.74924779165632</v>
      </c>
      <c r="D279" s="1" t="b">
        <f>IF(AND(dss_report!$B279&gt;30, dss_report!$C279&lt;40), TRUE, FALSE)</f>
        <v>0</v>
      </c>
      <c r="E279" s="1"/>
      <c r="F279" s="2">
        <f>LET(
 _xlpm.t,dss_report!$B279, _xlpm.lo,18, _xlpm.hi,28,
 IF(AND(_xlpm.t&gt;=_xlpm.lo, _xlpm.t&lt;=_xlpm.hi), 1,
   IF(_xlpm.t&lt;_xlpm.lo, MAX(0, 1 - (_xlpm.lo - _xlpm.t)/(_xlpm.lo*0.5)),
             MAX(0, 1 - (_xlpm.t - _xlpm.hi)/(_xlpm.hi*0.5))
   )
 )
)</f>
        <v>1</v>
      </c>
      <c r="G279" s="2">
        <f>LET(
 _xlpm.h,dss_report!$C279, _xlpm.lo,45, _xlpm.hi,70,
 IF(AND(_xlpm.h&gt;=_xlpm.lo, _xlpm.h&lt;=_xlpm.hi), 1,
   IF(_xlpm.h&lt;_xlpm.lo, MAX(0, 1 - (_xlpm.lo - _xlpm.h)/(_xlpm.lo*0.5)),
             MAX(0, 1 - (_xlpm.h - _xlpm.hi)/(_xlpm.hi*0.5))
   )
 )
)</f>
        <v>0.8999665685</v>
      </c>
      <c r="H279" s="2">
        <f t="shared" si="1"/>
        <v>0.9599866274</v>
      </c>
      <c r="I279" s="2" t="b">
        <f>IF(OR(dss_report!$D279=TRUE, H279&lt;0.3), TRUE, FALSE)</f>
        <v>0</v>
      </c>
      <c r="J279" s="2" t="b">
        <f>IF( OR( AND(dss_report!$B279&gt;31, dss_report!$C279&lt;38), H279&lt;0.25 ), TRUE, FALSE)</f>
        <v>0</v>
      </c>
      <c r="K279" s="2">
        <f t="shared" si="2"/>
        <v>0</v>
      </c>
      <c r="L279" s="2">
        <f t="shared" si="3"/>
        <v>0</v>
      </c>
      <c r="M279" s="2">
        <f t="shared" si="4"/>
        <v>0</v>
      </c>
      <c r="N279" s="2">
        <f t="shared" si="5"/>
        <v>1</v>
      </c>
      <c r="O279" s="2">
        <f t="shared" si="6"/>
        <v>0</v>
      </c>
      <c r="P279" s="2">
        <f t="shared" si="7"/>
        <v>0</v>
      </c>
    </row>
    <row r="280" ht="14.25" customHeight="1">
      <c r="A280" s="4">
        <v>45446.895833333336</v>
      </c>
      <c r="B280" s="1">
        <v>19.888525463080217</v>
      </c>
      <c r="C280" s="1">
        <v>42.64321632366394</v>
      </c>
      <c r="D280" s="1" t="b">
        <f>IF(AND(dss_report!$B280&gt;30, dss_report!$C280&lt;40), TRUE, FALSE)</f>
        <v>0</v>
      </c>
      <c r="E280" s="1"/>
      <c r="F280" s="2">
        <f>LET(
 _xlpm.t,dss_report!$B280, _xlpm.lo,18, _xlpm.hi,28,
 IF(AND(_xlpm.t&gt;=_xlpm.lo, _xlpm.t&lt;=_xlpm.hi), 1,
   IF(_xlpm.t&lt;_xlpm.lo, MAX(0, 1 - (_xlpm.lo - _xlpm.t)/(_xlpm.lo*0.5)),
             MAX(0, 1 - (_xlpm.t - _xlpm.hi)/(_xlpm.hi*0.5))
   )
 )
)</f>
        <v>1</v>
      </c>
      <c r="G280" s="2">
        <f>LET(
 _xlpm.h,dss_report!$C280, _xlpm.lo,45, _xlpm.hi,70,
 IF(AND(_xlpm.h&gt;=_xlpm.lo, _xlpm.h&lt;=_xlpm.hi), 1,
   IF(_xlpm.h&lt;_xlpm.lo, MAX(0, 1 - (_xlpm.lo - _xlpm.h)/(_xlpm.lo*0.5)),
             MAX(0, 1 - (_xlpm.h - _xlpm.hi)/(_xlpm.hi*0.5))
   )
 )
)</f>
        <v>0.8952540588</v>
      </c>
      <c r="H280" s="2">
        <f t="shared" si="1"/>
        <v>0.9581016235</v>
      </c>
      <c r="I280" s="2" t="b">
        <f>IF(OR(dss_report!$D280=TRUE, H280&lt;0.3), TRUE, FALSE)</f>
        <v>0</v>
      </c>
      <c r="J280" s="2" t="b">
        <f>IF( OR( AND(dss_report!$B280&gt;31, dss_report!$C280&lt;38), H280&lt;0.25 ), TRUE, FALSE)</f>
        <v>0</v>
      </c>
      <c r="K280" s="2">
        <f t="shared" si="2"/>
        <v>0</v>
      </c>
      <c r="L280" s="2">
        <f t="shared" si="3"/>
        <v>0</v>
      </c>
      <c r="M280" s="2">
        <f t="shared" si="4"/>
        <v>0</v>
      </c>
      <c r="N280" s="2">
        <f t="shared" si="5"/>
        <v>1</v>
      </c>
      <c r="O280" s="2">
        <f t="shared" si="6"/>
        <v>0</v>
      </c>
      <c r="P280" s="2">
        <f t="shared" si="7"/>
        <v>0</v>
      </c>
    </row>
    <row r="281" ht="14.25" customHeight="1">
      <c r="A281" s="4">
        <v>45446.90625</v>
      </c>
      <c r="B281" s="1">
        <v>19.80519588344548</v>
      </c>
      <c r="C281" s="1">
        <v>45.95128743721176</v>
      </c>
      <c r="D281" s="1" t="b">
        <f>IF(AND(dss_report!$B281&gt;30, dss_report!$C281&lt;40), TRUE, FALSE)</f>
        <v>0</v>
      </c>
      <c r="E281" s="1"/>
      <c r="F281" s="2">
        <f>LET(
 _xlpm.t,dss_report!$B281, _xlpm.lo,18, _xlpm.hi,28,
 IF(AND(_xlpm.t&gt;=_xlpm.lo, _xlpm.t&lt;=_xlpm.hi), 1,
   IF(_xlpm.t&lt;_xlpm.lo, MAX(0, 1 - (_xlpm.lo - _xlpm.t)/(_xlpm.lo*0.5)),
             MAX(0, 1 - (_xlpm.t - _xlpm.hi)/(_xlpm.hi*0.5))
   )
 )
)</f>
        <v>1</v>
      </c>
      <c r="G281" s="2">
        <f>LET(
 _xlpm.h,dss_report!$C281, _xlpm.lo,45, _xlpm.hi,70,
 IF(AND(_xlpm.h&gt;=_xlpm.lo, _xlpm.h&lt;=_xlpm.hi), 1,
   IF(_xlpm.h&lt;_xlpm.lo, MAX(0, 1 - (_xlpm.lo - _xlpm.h)/(_xlpm.lo*0.5)),
             MAX(0, 1 - (_xlpm.h - _xlpm.hi)/(_xlpm.hi*0.5))
   )
 )
)</f>
        <v>1</v>
      </c>
      <c r="H281" s="2">
        <f t="shared" si="1"/>
        <v>1</v>
      </c>
      <c r="I281" s="2" t="b">
        <f>IF(OR(dss_report!$D281=TRUE, H281&lt;0.3), TRUE, FALSE)</f>
        <v>0</v>
      </c>
      <c r="J281" s="2" t="b">
        <f>IF( OR( AND(dss_report!$B281&gt;31, dss_report!$C281&lt;38), H281&lt;0.25 ), TRUE, FALSE)</f>
        <v>0</v>
      </c>
      <c r="K281" s="2">
        <f t="shared" si="2"/>
        <v>0</v>
      </c>
      <c r="L281" s="2">
        <f t="shared" si="3"/>
        <v>0</v>
      </c>
      <c r="M281" s="2">
        <f t="shared" si="4"/>
        <v>0</v>
      </c>
      <c r="N281" s="2">
        <f t="shared" si="5"/>
        <v>1</v>
      </c>
      <c r="O281" s="2">
        <f t="shared" si="6"/>
        <v>0</v>
      </c>
      <c r="P281" s="2">
        <f t="shared" si="7"/>
        <v>0</v>
      </c>
    </row>
    <row r="282" ht="14.25" customHeight="1">
      <c r="A282" s="4">
        <v>45446.916666666664</v>
      </c>
      <c r="B282" s="1">
        <v>19.217798789032294</v>
      </c>
      <c r="C282" s="1">
        <v>40.49829018208718</v>
      </c>
      <c r="D282" s="1" t="b">
        <f>IF(AND(dss_report!$B282&gt;30, dss_report!$C282&lt;40), TRUE, FALSE)</f>
        <v>0</v>
      </c>
      <c r="E282" s="1"/>
      <c r="F282" s="2">
        <f>LET(
 _xlpm.t,dss_report!$B282, _xlpm.lo,18, _xlpm.hi,28,
 IF(AND(_xlpm.t&gt;=_xlpm.lo, _xlpm.t&lt;=_xlpm.hi), 1,
   IF(_xlpm.t&lt;_xlpm.lo, MAX(0, 1 - (_xlpm.lo - _xlpm.t)/(_xlpm.lo*0.5)),
             MAX(0, 1 - (_xlpm.t - _xlpm.hi)/(_xlpm.hi*0.5))
   )
 )
)</f>
        <v>1</v>
      </c>
      <c r="G282" s="2">
        <f>LET(
 _xlpm.h,dss_report!$C282, _xlpm.lo,45, _xlpm.hi,70,
 IF(AND(_xlpm.h&gt;=_xlpm.lo, _xlpm.h&lt;=_xlpm.hi), 1,
   IF(_xlpm.h&lt;_xlpm.lo, MAX(0, 1 - (_xlpm.lo - _xlpm.h)/(_xlpm.lo*0.5)),
             MAX(0, 1 - (_xlpm.h - _xlpm.hi)/(_xlpm.hi*0.5))
   )
 )
)</f>
        <v>0.7999240081</v>
      </c>
      <c r="H282" s="2">
        <f t="shared" si="1"/>
        <v>0.9199696032</v>
      </c>
      <c r="I282" s="2" t="b">
        <f>IF(OR(dss_report!$D282=TRUE, H282&lt;0.3), TRUE, FALSE)</f>
        <v>0</v>
      </c>
      <c r="J282" s="2" t="b">
        <f>IF( OR( AND(dss_report!$B282&gt;31, dss_report!$C282&lt;38), H282&lt;0.25 ), TRUE, FALSE)</f>
        <v>0</v>
      </c>
      <c r="K282" s="2">
        <f t="shared" si="2"/>
        <v>0</v>
      </c>
      <c r="L282" s="2">
        <f t="shared" si="3"/>
        <v>0</v>
      </c>
      <c r="M282" s="2">
        <f t="shared" si="4"/>
        <v>0</v>
      </c>
      <c r="N282" s="2">
        <f t="shared" si="5"/>
        <v>1</v>
      </c>
      <c r="O282" s="2">
        <f t="shared" si="6"/>
        <v>0</v>
      </c>
      <c r="P282" s="2">
        <f t="shared" si="7"/>
        <v>0</v>
      </c>
    </row>
    <row r="283" ht="14.25" customHeight="1">
      <c r="A283" s="4">
        <v>45446.927083333336</v>
      </c>
      <c r="B283" s="1">
        <v>20.89292148559882</v>
      </c>
      <c r="C283" s="1">
        <v>42.102704774318575</v>
      </c>
      <c r="D283" s="1" t="b">
        <f>IF(AND(dss_report!$B283&gt;30, dss_report!$C283&lt;40), TRUE, FALSE)</f>
        <v>0</v>
      </c>
      <c r="E283" s="1"/>
      <c r="F283" s="2">
        <f>LET(
 _xlpm.t,dss_report!$B283, _xlpm.lo,18, _xlpm.hi,28,
 IF(AND(_xlpm.t&gt;=_xlpm.lo, _xlpm.t&lt;=_xlpm.hi), 1,
   IF(_xlpm.t&lt;_xlpm.lo, MAX(0, 1 - (_xlpm.lo - _xlpm.t)/(_xlpm.lo*0.5)),
             MAX(0, 1 - (_xlpm.t - _xlpm.hi)/(_xlpm.hi*0.5))
   )
 )
)</f>
        <v>1</v>
      </c>
      <c r="G283" s="2">
        <f>LET(
 _xlpm.h,dss_report!$C283, _xlpm.lo,45, _xlpm.hi,70,
 IF(AND(_xlpm.h&gt;=_xlpm.lo, _xlpm.h&lt;=_xlpm.hi), 1,
   IF(_xlpm.h&lt;_xlpm.lo, MAX(0, 1 - (_xlpm.lo - _xlpm.h)/(_xlpm.lo*0.5)),
             MAX(0, 1 - (_xlpm.h - _xlpm.hi)/(_xlpm.hi*0.5))
   )
 )
)</f>
        <v>0.8712313233</v>
      </c>
      <c r="H283" s="2">
        <f t="shared" si="1"/>
        <v>0.9484925293</v>
      </c>
      <c r="I283" s="2" t="b">
        <f>IF(OR(dss_report!$D283=TRUE, H283&lt;0.3), TRUE, FALSE)</f>
        <v>0</v>
      </c>
      <c r="J283" s="2" t="b">
        <f>IF( OR( AND(dss_report!$B283&gt;31, dss_report!$C283&lt;38), H283&lt;0.25 ), TRUE, FALSE)</f>
        <v>0</v>
      </c>
      <c r="K283" s="2">
        <f t="shared" si="2"/>
        <v>0</v>
      </c>
      <c r="L283" s="2">
        <f t="shared" si="3"/>
        <v>0</v>
      </c>
      <c r="M283" s="2">
        <f t="shared" si="4"/>
        <v>0</v>
      </c>
      <c r="N283" s="2">
        <f t="shared" si="5"/>
        <v>1</v>
      </c>
      <c r="O283" s="2">
        <f t="shared" si="6"/>
        <v>0</v>
      </c>
      <c r="P283" s="2">
        <f t="shared" si="7"/>
        <v>0</v>
      </c>
    </row>
    <row r="284" ht="14.25" customHeight="1">
      <c r="A284" s="4">
        <v>45446.9375</v>
      </c>
      <c r="B284" s="1">
        <v>19.99487138920404</v>
      </c>
      <c r="C284" s="1">
        <v>42.39567632766053</v>
      </c>
      <c r="D284" s="1" t="b">
        <f>IF(AND(dss_report!$B284&gt;30, dss_report!$C284&lt;40), TRUE, FALSE)</f>
        <v>0</v>
      </c>
      <c r="E284" s="1"/>
      <c r="F284" s="2">
        <f>LET(
 _xlpm.t,dss_report!$B284, _xlpm.lo,18, _xlpm.hi,28,
 IF(AND(_xlpm.t&gt;=_xlpm.lo, _xlpm.t&lt;=_xlpm.hi), 1,
   IF(_xlpm.t&lt;_xlpm.lo, MAX(0, 1 - (_xlpm.lo - _xlpm.t)/(_xlpm.lo*0.5)),
             MAX(0, 1 - (_xlpm.t - _xlpm.hi)/(_xlpm.hi*0.5))
   )
 )
)</f>
        <v>1</v>
      </c>
      <c r="G284" s="2">
        <f>LET(
 _xlpm.h,dss_report!$C284, _xlpm.lo,45, _xlpm.hi,70,
 IF(AND(_xlpm.h&gt;=_xlpm.lo, _xlpm.h&lt;=_xlpm.hi), 1,
   IF(_xlpm.h&lt;_xlpm.lo, MAX(0, 1 - (_xlpm.lo - _xlpm.h)/(_xlpm.lo*0.5)),
             MAX(0, 1 - (_xlpm.h - _xlpm.hi)/(_xlpm.hi*0.5))
   )
 )
)</f>
        <v>0.8842522812</v>
      </c>
      <c r="H284" s="2">
        <f t="shared" si="1"/>
        <v>0.9537009125</v>
      </c>
      <c r="I284" s="2" t="b">
        <f>IF(OR(dss_report!$D284=TRUE, H284&lt;0.3), TRUE, FALSE)</f>
        <v>0</v>
      </c>
      <c r="J284" s="2" t="b">
        <f>IF( OR( AND(dss_report!$B284&gt;31, dss_report!$C284&lt;38), H284&lt;0.25 ), TRUE, FALSE)</f>
        <v>0</v>
      </c>
      <c r="K284" s="2">
        <f t="shared" si="2"/>
        <v>0</v>
      </c>
      <c r="L284" s="2">
        <f t="shared" si="3"/>
        <v>0</v>
      </c>
      <c r="M284" s="2">
        <f t="shared" si="4"/>
        <v>0</v>
      </c>
      <c r="N284" s="2">
        <f t="shared" si="5"/>
        <v>1</v>
      </c>
      <c r="O284" s="2">
        <f t="shared" si="6"/>
        <v>0</v>
      </c>
      <c r="P284" s="2">
        <f t="shared" si="7"/>
        <v>0</v>
      </c>
    </row>
    <row r="285" ht="14.25" customHeight="1">
      <c r="A285" s="4">
        <v>45446.947916666664</v>
      </c>
      <c r="B285" s="1">
        <v>20.09460528040003</v>
      </c>
      <c r="C285" s="1">
        <v>43.36060225143702</v>
      </c>
      <c r="D285" s="1" t="b">
        <f>IF(AND(dss_report!$B285&gt;30, dss_report!$C285&lt;40), TRUE, FALSE)</f>
        <v>0</v>
      </c>
      <c r="E285" s="1"/>
      <c r="F285" s="2">
        <f>LET(
 _xlpm.t,dss_report!$B285, _xlpm.lo,18, _xlpm.hi,28,
 IF(AND(_xlpm.t&gt;=_xlpm.lo, _xlpm.t&lt;=_xlpm.hi), 1,
   IF(_xlpm.t&lt;_xlpm.lo, MAX(0, 1 - (_xlpm.lo - _xlpm.t)/(_xlpm.lo*0.5)),
             MAX(0, 1 - (_xlpm.t - _xlpm.hi)/(_xlpm.hi*0.5))
   )
 )
)</f>
        <v>1</v>
      </c>
      <c r="G285" s="2">
        <f>LET(
 _xlpm.h,dss_report!$C285, _xlpm.lo,45, _xlpm.hi,70,
 IF(AND(_xlpm.h&gt;=_xlpm.lo, _xlpm.h&lt;=_xlpm.hi), 1,
   IF(_xlpm.h&lt;_xlpm.lo, MAX(0, 1 - (_xlpm.lo - _xlpm.h)/(_xlpm.lo*0.5)),
             MAX(0, 1 - (_xlpm.h - _xlpm.hi)/(_xlpm.hi*0.5))
   )
 )
)</f>
        <v>0.9271378778</v>
      </c>
      <c r="H285" s="2">
        <f t="shared" si="1"/>
        <v>0.9708551511</v>
      </c>
      <c r="I285" s="2" t="b">
        <f>IF(OR(dss_report!$D285=TRUE, H285&lt;0.3), TRUE, FALSE)</f>
        <v>0</v>
      </c>
      <c r="J285" s="2" t="b">
        <f>IF( OR( AND(dss_report!$B285&gt;31, dss_report!$C285&lt;38), H285&lt;0.25 ), TRUE, FALSE)</f>
        <v>0</v>
      </c>
      <c r="K285" s="2">
        <f t="shared" si="2"/>
        <v>0</v>
      </c>
      <c r="L285" s="2">
        <f t="shared" si="3"/>
        <v>0</v>
      </c>
      <c r="M285" s="2">
        <f t="shared" si="4"/>
        <v>0</v>
      </c>
      <c r="N285" s="2">
        <f t="shared" si="5"/>
        <v>1</v>
      </c>
      <c r="O285" s="2">
        <f t="shared" si="6"/>
        <v>0</v>
      </c>
      <c r="P285" s="2">
        <f t="shared" si="7"/>
        <v>0</v>
      </c>
    </row>
    <row r="286" ht="14.25" customHeight="1">
      <c r="A286" s="4">
        <v>45446.958333333336</v>
      </c>
      <c r="B286" s="1">
        <v>20.133319108395696</v>
      </c>
      <c r="C286" s="1">
        <v>42.355247982056405</v>
      </c>
      <c r="D286" s="1" t="b">
        <f>IF(AND(dss_report!$B286&gt;30, dss_report!$C286&lt;40), TRUE, FALSE)</f>
        <v>0</v>
      </c>
      <c r="E286" s="1"/>
      <c r="F286" s="2">
        <f>LET(
 _xlpm.t,dss_report!$B286, _xlpm.lo,18, _xlpm.hi,28,
 IF(AND(_xlpm.t&gt;=_xlpm.lo, _xlpm.t&lt;=_xlpm.hi), 1,
   IF(_xlpm.t&lt;_xlpm.lo, MAX(0, 1 - (_xlpm.lo - _xlpm.t)/(_xlpm.lo*0.5)),
             MAX(0, 1 - (_xlpm.t - _xlpm.hi)/(_xlpm.hi*0.5))
   )
 )
)</f>
        <v>1</v>
      </c>
      <c r="G286" s="2">
        <f>LET(
 _xlpm.h,dss_report!$C286, _xlpm.lo,45, _xlpm.hi,70,
 IF(AND(_xlpm.h&gt;=_xlpm.lo, _xlpm.h&lt;=_xlpm.hi), 1,
   IF(_xlpm.h&lt;_xlpm.lo, MAX(0, 1 - (_xlpm.lo - _xlpm.h)/(_xlpm.lo*0.5)),
             MAX(0, 1 - (_xlpm.h - _xlpm.hi)/(_xlpm.hi*0.5))
   )
 )
)</f>
        <v>0.8824554659</v>
      </c>
      <c r="H286" s="2">
        <f t="shared" si="1"/>
        <v>0.9529821863</v>
      </c>
      <c r="I286" s="2" t="b">
        <f>IF(OR(dss_report!$D286=TRUE, H286&lt;0.3), TRUE, FALSE)</f>
        <v>0</v>
      </c>
      <c r="J286" s="2" t="b">
        <f>IF( OR( AND(dss_report!$B286&gt;31, dss_report!$C286&lt;38), H286&lt;0.25 ), TRUE, FALSE)</f>
        <v>0</v>
      </c>
      <c r="K286" s="2">
        <f t="shared" si="2"/>
        <v>0</v>
      </c>
      <c r="L286" s="2">
        <f t="shared" si="3"/>
        <v>0</v>
      </c>
      <c r="M286" s="2">
        <f t="shared" si="4"/>
        <v>0</v>
      </c>
      <c r="N286" s="2">
        <f t="shared" si="5"/>
        <v>1</v>
      </c>
      <c r="O286" s="2">
        <f t="shared" si="6"/>
        <v>0</v>
      </c>
      <c r="P286" s="2">
        <f t="shared" si="7"/>
        <v>0</v>
      </c>
    </row>
    <row r="287" ht="14.25" customHeight="1">
      <c r="A287" s="4">
        <v>45446.96875</v>
      </c>
      <c r="B287" s="1">
        <v>18.449536215553398</v>
      </c>
      <c r="C287" s="1">
        <v>41.01904237794004</v>
      </c>
      <c r="D287" s="1" t="b">
        <f>IF(AND(dss_report!$B287&gt;30, dss_report!$C287&lt;40), TRUE, FALSE)</f>
        <v>0</v>
      </c>
      <c r="E287" s="1"/>
      <c r="F287" s="2">
        <f>LET(
 _xlpm.t,dss_report!$B287, _xlpm.lo,18, _xlpm.hi,28,
 IF(AND(_xlpm.t&gt;=_xlpm.lo, _xlpm.t&lt;=_xlpm.hi), 1,
   IF(_xlpm.t&lt;_xlpm.lo, MAX(0, 1 - (_xlpm.lo - _xlpm.t)/(_xlpm.lo*0.5)),
             MAX(0, 1 - (_xlpm.t - _xlpm.hi)/(_xlpm.hi*0.5))
   )
 )
)</f>
        <v>1</v>
      </c>
      <c r="G287" s="2">
        <f>LET(
 _xlpm.h,dss_report!$C287, _xlpm.lo,45, _xlpm.hi,70,
 IF(AND(_xlpm.h&gt;=_xlpm.lo, _xlpm.h&lt;=_xlpm.hi), 1,
   IF(_xlpm.h&lt;_xlpm.lo, MAX(0, 1 - (_xlpm.lo - _xlpm.h)/(_xlpm.lo*0.5)),
             MAX(0, 1 - (_xlpm.h - _xlpm.hi)/(_xlpm.hi*0.5))
   )
 )
)</f>
        <v>0.8230685501</v>
      </c>
      <c r="H287" s="2">
        <f t="shared" si="1"/>
        <v>0.9292274201</v>
      </c>
      <c r="I287" s="2" t="b">
        <f>IF(OR(dss_report!$D287=TRUE, H287&lt;0.3), TRUE, FALSE)</f>
        <v>0</v>
      </c>
      <c r="J287" s="2" t="b">
        <f>IF( OR( AND(dss_report!$B287&gt;31, dss_report!$C287&lt;38), H287&lt;0.25 ), TRUE, FALSE)</f>
        <v>0</v>
      </c>
      <c r="K287" s="2">
        <f t="shared" si="2"/>
        <v>0</v>
      </c>
      <c r="L287" s="2">
        <f t="shared" si="3"/>
        <v>0</v>
      </c>
      <c r="M287" s="2">
        <f t="shared" si="4"/>
        <v>0</v>
      </c>
      <c r="N287" s="2">
        <f t="shared" si="5"/>
        <v>1</v>
      </c>
      <c r="O287" s="2">
        <f t="shared" si="6"/>
        <v>0</v>
      </c>
      <c r="P287" s="2">
        <f t="shared" si="7"/>
        <v>0</v>
      </c>
    </row>
    <row r="288" ht="14.25" customHeight="1">
      <c r="A288" s="4">
        <v>45446.979166666664</v>
      </c>
      <c r="B288" s="1">
        <v>20.50734105415049</v>
      </c>
      <c r="C288" s="1">
        <v>43.30753408274651</v>
      </c>
      <c r="D288" s="1" t="b">
        <f>IF(AND(dss_report!$B288&gt;30, dss_report!$C288&lt;40), TRUE, FALSE)</f>
        <v>0</v>
      </c>
      <c r="E288" s="1"/>
      <c r="F288" s="2">
        <f>LET(
 _xlpm.t,dss_report!$B288, _xlpm.lo,18, _xlpm.hi,28,
 IF(AND(_xlpm.t&gt;=_xlpm.lo, _xlpm.t&lt;=_xlpm.hi), 1,
   IF(_xlpm.t&lt;_xlpm.lo, MAX(0, 1 - (_xlpm.lo - _xlpm.t)/(_xlpm.lo*0.5)),
             MAX(0, 1 - (_xlpm.t - _xlpm.hi)/(_xlpm.hi*0.5))
   )
 )
)</f>
        <v>1</v>
      </c>
      <c r="G288" s="2">
        <f>LET(
 _xlpm.h,dss_report!$C288, _xlpm.lo,45, _xlpm.hi,70,
 IF(AND(_xlpm.h&gt;=_xlpm.lo, _xlpm.h&lt;=_xlpm.hi), 1,
   IF(_xlpm.h&lt;_xlpm.lo, MAX(0, 1 - (_xlpm.lo - _xlpm.h)/(_xlpm.lo*0.5)),
             MAX(0, 1 - (_xlpm.h - _xlpm.hi)/(_xlpm.hi*0.5))
   )
 )
)</f>
        <v>0.9247792926</v>
      </c>
      <c r="H288" s="2">
        <f t="shared" si="1"/>
        <v>0.969911717</v>
      </c>
      <c r="I288" s="2" t="b">
        <f>IF(OR(dss_report!$D288=TRUE, H288&lt;0.3), TRUE, FALSE)</f>
        <v>0</v>
      </c>
      <c r="J288" s="2" t="b">
        <f>IF( OR( AND(dss_report!$B288&gt;31, dss_report!$C288&lt;38), H288&lt;0.25 ), TRUE, FALSE)</f>
        <v>0</v>
      </c>
      <c r="K288" s="2">
        <f t="shared" si="2"/>
        <v>0</v>
      </c>
      <c r="L288" s="2">
        <f t="shared" si="3"/>
        <v>0</v>
      </c>
      <c r="M288" s="2">
        <f t="shared" si="4"/>
        <v>0</v>
      </c>
      <c r="N288" s="2">
        <f t="shared" si="5"/>
        <v>1</v>
      </c>
      <c r="O288" s="2">
        <f t="shared" si="6"/>
        <v>0</v>
      </c>
      <c r="P288" s="2">
        <f t="shared" si="7"/>
        <v>0</v>
      </c>
    </row>
    <row r="289" ht="14.25" customHeight="1">
      <c r="A289" s="4">
        <v>45446.989583333336</v>
      </c>
      <c r="B289" s="1">
        <v>19.95197154104422</v>
      </c>
      <c r="C289" s="1">
        <v>40.21262665768436</v>
      </c>
      <c r="D289" s="1" t="b">
        <f>IF(AND(dss_report!$B289&gt;30, dss_report!$C289&lt;40), TRUE, FALSE)</f>
        <v>0</v>
      </c>
      <c r="E289" s="1"/>
      <c r="F289" s="2">
        <f>LET(
 _xlpm.t,dss_report!$B289, _xlpm.lo,18, _xlpm.hi,28,
 IF(AND(_xlpm.t&gt;=_xlpm.lo, _xlpm.t&lt;=_xlpm.hi), 1,
   IF(_xlpm.t&lt;_xlpm.lo, MAX(0, 1 - (_xlpm.lo - _xlpm.t)/(_xlpm.lo*0.5)),
             MAX(0, 1 - (_xlpm.t - _xlpm.hi)/(_xlpm.hi*0.5))
   )
 )
)</f>
        <v>1</v>
      </c>
      <c r="G289" s="2">
        <f>LET(
 _xlpm.h,dss_report!$C289, _xlpm.lo,45, _xlpm.hi,70,
 IF(AND(_xlpm.h&gt;=_xlpm.lo, _xlpm.h&lt;=_xlpm.hi), 1,
   IF(_xlpm.h&lt;_xlpm.lo, MAX(0, 1 - (_xlpm.lo - _xlpm.h)/(_xlpm.lo*0.5)),
             MAX(0, 1 - (_xlpm.h - _xlpm.hi)/(_xlpm.hi*0.5))
   )
 )
)</f>
        <v>0.7872278515</v>
      </c>
      <c r="H289" s="2">
        <f t="shared" si="1"/>
        <v>0.9148911406</v>
      </c>
      <c r="I289" s="2" t="b">
        <f>IF(OR(dss_report!$D289=TRUE, H289&lt;0.3), TRUE, FALSE)</f>
        <v>0</v>
      </c>
      <c r="J289" s="2" t="b">
        <f>IF( OR( AND(dss_report!$B289&gt;31, dss_report!$C289&lt;38), H289&lt;0.25 ), TRUE, FALSE)</f>
        <v>0</v>
      </c>
      <c r="K289" s="2">
        <f t="shared" si="2"/>
        <v>0</v>
      </c>
      <c r="L289" s="2">
        <f t="shared" si="3"/>
        <v>0</v>
      </c>
      <c r="M289" s="2">
        <f t="shared" si="4"/>
        <v>0</v>
      </c>
      <c r="N289" s="2">
        <f t="shared" si="5"/>
        <v>1</v>
      </c>
      <c r="O289" s="2">
        <f t="shared" si="6"/>
        <v>0</v>
      </c>
      <c r="P289" s="2">
        <f t="shared" si="7"/>
        <v>0</v>
      </c>
    </row>
    <row r="290" ht="14.25" customHeight="1">
      <c r="A290" s="4">
        <v>45447.0</v>
      </c>
      <c r="B290" s="1">
        <v>20.02987405902258</v>
      </c>
      <c r="C290" s="1">
        <v>39.01189766740158</v>
      </c>
      <c r="D290" s="1" t="b">
        <f>IF(AND(dss_report!$B290&gt;30, dss_report!$C290&lt;40), TRUE, FALSE)</f>
        <v>0</v>
      </c>
      <c r="E290" s="1"/>
      <c r="F290" s="2">
        <f>LET(
 _xlpm.t,dss_report!$B290, _xlpm.lo,18, _xlpm.hi,28,
 IF(AND(_xlpm.t&gt;=_xlpm.lo, _xlpm.t&lt;=_xlpm.hi), 1,
   IF(_xlpm.t&lt;_xlpm.lo, MAX(0, 1 - (_xlpm.lo - _xlpm.t)/(_xlpm.lo*0.5)),
             MAX(0, 1 - (_xlpm.t - _xlpm.hi)/(_xlpm.hi*0.5))
   )
 )
)</f>
        <v>1</v>
      </c>
      <c r="G290" s="2">
        <f>LET(
 _xlpm.h,dss_report!$C290, _xlpm.lo,45, _xlpm.hi,70,
 IF(AND(_xlpm.h&gt;=_xlpm.lo, _xlpm.h&lt;=_xlpm.hi), 1,
   IF(_xlpm.h&lt;_xlpm.lo, MAX(0, 1 - (_xlpm.lo - _xlpm.h)/(_xlpm.lo*0.5)),
             MAX(0, 1 - (_xlpm.h - _xlpm.hi)/(_xlpm.hi*0.5))
   )
 )
)</f>
        <v>0.7338621186</v>
      </c>
      <c r="H290" s="2">
        <f t="shared" si="1"/>
        <v>0.8935448474</v>
      </c>
      <c r="I290" s="2" t="b">
        <f>IF(OR(dss_report!$D290=TRUE, H290&lt;0.3), TRUE, FALSE)</f>
        <v>0</v>
      </c>
      <c r="J290" s="2" t="b">
        <f>IF( OR( AND(dss_report!$B290&gt;31, dss_report!$C290&lt;38), H290&lt;0.25 ), TRUE, FALSE)</f>
        <v>0</v>
      </c>
      <c r="K290" s="2">
        <f t="shared" si="2"/>
        <v>0</v>
      </c>
      <c r="L290" s="2">
        <f t="shared" si="3"/>
        <v>0</v>
      </c>
      <c r="M290" s="2">
        <f t="shared" si="4"/>
        <v>0</v>
      </c>
      <c r="N290" s="2">
        <f t="shared" si="5"/>
        <v>1</v>
      </c>
      <c r="O290" s="2">
        <f t="shared" si="6"/>
        <v>0</v>
      </c>
      <c r="P290" s="2">
        <f t="shared" si="7"/>
        <v>0</v>
      </c>
    </row>
    <row r="291" ht="14.25" customHeight="1">
      <c r="A291" s="4">
        <v>45447.010416666664</v>
      </c>
      <c r="B291" s="1">
        <v>20.336978107570744</v>
      </c>
      <c r="C291" s="1">
        <v>38.3567291113679</v>
      </c>
      <c r="D291" s="1" t="b">
        <f>IF(AND(dss_report!$B291&gt;30, dss_report!$C291&lt;40), TRUE, FALSE)</f>
        <v>0</v>
      </c>
      <c r="E291" s="1"/>
      <c r="F291" s="2">
        <f>LET(
 _xlpm.t,dss_report!$B291, _xlpm.lo,18, _xlpm.hi,28,
 IF(AND(_xlpm.t&gt;=_xlpm.lo, _xlpm.t&lt;=_xlpm.hi), 1,
   IF(_xlpm.t&lt;_xlpm.lo, MAX(0, 1 - (_xlpm.lo - _xlpm.t)/(_xlpm.lo*0.5)),
             MAX(0, 1 - (_xlpm.t - _xlpm.hi)/(_xlpm.hi*0.5))
   )
 )
)</f>
        <v>1</v>
      </c>
      <c r="G291" s="2">
        <f>LET(
 _xlpm.h,dss_report!$C291, _xlpm.lo,45, _xlpm.hi,70,
 IF(AND(_xlpm.h&gt;=_xlpm.lo, _xlpm.h&lt;=_xlpm.hi), 1,
   IF(_xlpm.h&lt;_xlpm.lo, MAX(0, 1 - (_xlpm.lo - _xlpm.h)/(_xlpm.lo*0.5)),
             MAX(0, 1 - (_xlpm.h - _xlpm.hi)/(_xlpm.hi*0.5))
   )
 )
)</f>
        <v>0.7047435161</v>
      </c>
      <c r="H291" s="2">
        <f t="shared" si="1"/>
        <v>0.8818974064</v>
      </c>
      <c r="I291" s="2" t="b">
        <f>IF(OR(dss_report!$D291=TRUE, H291&lt;0.3), TRUE, FALSE)</f>
        <v>0</v>
      </c>
      <c r="J291" s="2" t="b">
        <f>IF( OR( AND(dss_report!$B291&gt;31, dss_report!$C291&lt;38), H291&lt;0.25 ), TRUE, FALSE)</f>
        <v>0</v>
      </c>
      <c r="K291" s="2">
        <f t="shared" si="2"/>
        <v>0</v>
      </c>
      <c r="L291" s="2">
        <f t="shared" si="3"/>
        <v>0</v>
      </c>
      <c r="M291" s="2">
        <f t="shared" si="4"/>
        <v>0</v>
      </c>
      <c r="N291" s="2">
        <f t="shared" si="5"/>
        <v>1</v>
      </c>
      <c r="O291" s="2">
        <f t="shared" si="6"/>
        <v>0</v>
      </c>
      <c r="P291" s="2">
        <f t="shared" si="7"/>
        <v>0</v>
      </c>
    </row>
    <row r="292" ht="14.25" customHeight="1">
      <c r="A292" s="4">
        <v>45447.020833333336</v>
      </c>
      <c r="B292" s="1">
        <v>19.668938446477455</v>
      </c>
      <c r="C292" s="1">
        <v>43.83448535160514</v>
      </c>
      <c r="D292" s="1" t="b">
        <f>IF(AND(dss_report!$B292&gt;30, dss_report!$C292&lt;40), TRUE, FALSE)</f>
        <v>0</v>
      </c>
      <c r="E292" s="1"/>
      <c r="F292" s="2">
        <f>LET(
 _xlpm.t,dss_report!$B292, _xlpm.lo,18, _xlpm.hi,28,
 IF(AND(_xlpm.t&gt;=_xlpm.lo, _xlpm.t&lt;=_xlpm.hi), 1,
   IF(_xlpm.t&lt;_xlpm.lo, MAX(0, 1 - (_xlpm.lo - _xlpm.t)/(_xlpm.lo*0.5)),
             MAX(0, 1 - (_xlpm.t - _xlpm.hi)/(_xlpm.hi*0.5))
   )
 )
)</f>
        <v>1</v>
      </c>
      <c r="G292" s="2">
        <f>LET(
 _xlpm.h,dss_report!$C292, _xlpm.lo,45, _xlpm.hi,70,
 IF(AND(_xlpm.h&gt;=_xlpm.lo, _xlpm.h&lt;=_xlpm.hi), 1,
   IF(_xlpm.h&lt;_xlpm.lo, MAX(0, 1 - (_xlpm.lo - _xlpm.h)/(_xlpm.lo*0.5)),
             MAX(0, 1 - (_xlpm.h - _xlpm.hi)/(_xlpm.hi*0.5))
   )
 )
)</f>
        <v>0.948199349</v>
      </c>
      <c r="H292" s="2">
        <f t="shared" si="1"/>
        <v>0.9792797396</v>
      </c>
      <c r="I292" s="2" t="b">
        <f>IF(OR(dss_report!$D292=TRUE, H292&lt;0.3), TRUE, FALSE)</f>
        <v>0</v>
      </c>
      <c r="J292" s="2" t="b">
        <f>IF( OR( AND(dss_report!$B292&gt;31, dss_report!$C292&lt;38), H292&lt;0.25 ), TRUE, FALSE)</f>
        <v>0</v>
      </c>
      <c r="K292" s="2">
        <f t="shared" si="2"/>
        <v>0</v>
      </c>
      <c r="L292" s="2">
        <f t="shared" si="3"/>
        <v>0</v>
      </c>
      <c r="M292" s="2">
        <f t="shared" si="4"/>
        <v>0</v>
      </c>
      <c r="N292" s="2">
        <f t="shared" si="5"/>
        <v>1</v>
      </c>
      <c r="O292" s="2">
        <f t="shared" si="6"/>
        <v>0</v>
      </c>
      <c r="P292" s="2">
        <f t="shared" si="7"/>
        <v>0</v>
      </c>
    </row>
    <row r="293" ht="14.25" customHeight="1">
      <c r="A293" s="4">
        <v>45447.03125</v>
      </c>
      <c r="B293" s="1">
        <v>21.007239497754092</v>
      </c>
      <c r="C293" s="1">
        <v>38.79482156150558</v>
      </c>
      <c r="D293" s="1" t="b">
        <f>IF(AND(dss_report!$B293&gt;30, dss_report!$C293&lt;40), TRUE, FALSE)</f>
        <v>0</v>
      </c>
      <c r="E293" s="1"/>
      <c r="F293" s="2">
        <f>LET(
 _xlpm.t,dss_report!$B293, _xlpm.lo,18, _xlpm.hi,28,
 IF(AND(_xlpm.t&gt;=_xlpm.lo, _xlpm.t&lt;=_xlpm.hi), 1,
   IF(_xlpm.t&lt;_xlpm.lo, MAX(0, 1 - (_xlpm.lo - _xlpm.t)/(_xlpm.lo*0.5)),
             MAX(0, 1 - (_xlpm.t - _xlpm.hi)/(_xlpm.hi*0.5))
   )
 )
)</f>
        <v>1</v>
      </c>
      <c r="G293" s="2">
        <f>LET(
 _xlpm.h,dss_report!$C293, _xlpm.lo,45, _xlpm.hi,70,
 IF(AND(_xlpm.h&gt;=_xlpm.lo, _xlpm.h&lt;=_xlpm.hi), 1,
   IF(_xlpm.h&lt;_xlpm.lo, MAX(0, 1 - (_xlpm.lo - _xlpm.h)/(_xlpm.lo*0.5)),
             MAX(0, 1 - (_xlpm.h - _xlpm.hi)/(_xlpm.hi*0.5))
   )
 )
)</f>
        <v>0.7242142916</v>
      </c>
      <c r="H293" s="2">
        <f t="shared" si="1"/>
        <v>0.8896857166</v>
      </c>
      <c r="I293" s="2" t="b">
        <f>IF(OR(dss_report!$D293=TRUE, H293&lt;0.3), TRUE, FALSE)</f>
        <v>0</v>
      </c>
      <c r="J293" s="2" t="b">
        <f>IF( OR( AND(dss_report!$B293&gt;31, dss_report!$C293&lt;38), H293&lt;0.25 ), TRUE, FALSE)</f>
        <v>0</v>
      </c>
      <c r="K293" s="2">
        <f t="shared" si="2"/>
        <v>0</v>
      </c>
      <c r="L293" s="2">
        <f t="shared" si="3"/>
        <v>0</v>
      </c>
      <c r="M293" s="2">
        <f t="shared" si="4"/>
        <v>0</v>
      </c>
      <c r="N293" s="2">
        <f t="shared" si="5"/>
        <v>1</v>
      </c>
      <c r="O293" s="2">
        <f t="shared" si="6"/>
        <v>0</v>
      </c>
      <c r="P293" s="2">
        <f t="shared" si="7"/>
        <v>0</v>
      </c>
    </row>
    <row r="294" ht="14.25" customHeight="1">
      <c r="A294" s="4">
        <v>45447.041666666664</v>
      </c>
      <c r="B294" s="1">
        <v>20.00252190185212</v>
      </c>
      <c r="C294" s="1">
        <v>43.10175991909648</v>
      </c>
      <c r="D294" s="1" t="b">
        <f>IF(AND(dss_report!$B294&gt;30, dss_report!$C294&lt;40), TRUE, FALSE)</f>
        <v>0</v>
      </c>
      <c r="E294" s="1"/>
      <c r="F294" s="2">
        <f>LET(
 _xlpm.t,dss_report!$B294, _xlpm.lo,18, _xlpm.hi,28,
 IF(AND(_xlpm.t&gt;=_xlpm.lo, _xlpm.t&lt;=_xlpm.hi), 1,
   IF(_xlpm.t&lt;_xlpm.lo, MAX(0, 1 - (_xlpm.lo - _xlpm.t)/(_xlpm.lo*0.5)),
             MAX(0, 1 - (_xlpm.t - _xlpm.hi)/(_xlpm.hi*0.5))
   )
 )
)</f>
        <v>1</v>
      </c>
      <c r="G294" s="2">
        <f>LET(
 _xlpm.h,dss_report!$C294, _xlpm.lo,45, _xlpm.hi,70,
 IF(AND(_xlpm.h&gt;=_xlpm.lo, _xlpm.h&lt;=_xlpm.hi), 1,
   IF(_xlpm.h&lt;_xlpm.lo, MAX(0, 1 - (_xlpm.lo - _xlpm.h)/(_xlpm.lo*0.5)),
             MAX(0, 1 - (_xlpm.h - _xlpm.hi)/(_xlpm.hi*0.5))
   )
 )
)</f>
        <v>0.9156337742</v>
      </c>
      <c r="H294" s="2">
        <f t="shared" si="1"/>
        <v>0.9662535097</v>
      </c>
      <c r="I294" s="2" t="b">
        <f>IF(OR(dss_report!$D294=TRUE, H294&lt;0.3), TRUE, FALSE)</f>
        <v>0</v>
      </c>
      <c r="J294" s="2" t="b">
        <f>IF( OR( AND(dss_report!$B294&gt;31, dss_report!$C294&lt;38), H294&lt;0.25 ), TRUE, FALSE)</f>
        <v>0</v>
      </c>
      <c r="K294" s="2">
        <f t="shared" si="2"/>
        <v>0</v>
      </c>
      <c r="L294" s="2">
        <f t="shared" si="3"/>
        <v>0</v>
      </c>
      <c r="M294" s="2">
        <f t="shared" si="4"/>
        <v>0</v>
      </c>
      <c r="N294" s="2">
        <f t="shared" si="5"/>
        <v>1</v>
      </c>
      <c r="O294" s="2">
        <f t="shared" si="6"/>
        <v>0</v>
      </c>
      <c r="P294" s="2">
        <f t="shared" si="7"/>
        <v>0</v>
      </c>
    </row>
    <row r="295" ht="14.25" customHeight="1">
      <c r="A295" s="4">
        <v>45447.052083333336</v>
      </c>
      <c r="B295" s="1">
        <v>19.935260610510007</v>
      </c>
      <c r="C295" s="1">
        <v>43.49590499113658</v>
      </c>
      <c r="D295" s="1" t="b">
        <f>IF(AND(dss_report!$B295&gt;30, dss_report!$C295&lt;40), TRUE, FALSE)</f>
        <v>0</v>
      </c>
      <c r="E295" s="1"/>
      <c r="F295" s="2">
        <f>LET(
 _xlpm.t,dss_report!$B295, _xlpm.lo,18, _xlpm.hi,28,
 IF(AND(_xlpm.t&gt;=_xlpm.lo, _xlpm.t&lt;=_xlpm.hi), 1,
   IF(_xlpm.t&lt;_xlpm.lo, MAX(0, 1 - (_xlpm.lo - _xlpm.t)/(_xlpm.lo*0.5)),
             MAX(0, 1 - (_xlpm.t - _xlpm.hi)/(_xlpm.hi*0.5))
   )
 )
)</f>
        <v>1</v>
      </c>
      <c r="G295" s="2">
        <f>LET(
 _xlpm.h,dss_report!$C295, _xlpm.lo,45, _xlpm.hi,70,
 IF(AND(_xlpm.h&gt;=_xlpm.lo, _xlpm.h&lt;=_xlpm.hi), 1,
   IF(_xlpm.h&lt;_xlpm.lo, MAX(0, 1 - (_xlpm.lo - _xlpm.h)/(_xlpm.lo*0.5)),
             MAX(0, 1 - (_xlpm.h - _xlpm.hi)/(_xlpm.hi*0.5))
   )
 )
)</f>
        <v>0.9331513329</v>
      </c>
      <c r="H295" s="2">
        <f t="shared" si="1"/>
        <v>0.9732605332</v>
      </c>
      <c r="I295" s="2" t="b">
        <f>IF(OR(dss_report!$D295=TRUE, H295&lt;0.3), TRUE, FALSE)</f>
        <v>0</v>
      </c>
      <c r="J295" s="2" t="b">
        <f>IF( OR( AND(dss_report!$B295&gt;31, dss_report!$C295&lt;38), H295&lt;0.25 ), TRUE, FALSE)</f>
        <v>0</v>
      </c>
      <c r="K295" s="2">
        <f t="shared" si="2"/>
        <v>0</v>
      </c>
      <c r="L295" s="2">
        <f t="shared" si="3"/>
        <v>0</v>
      </c>
      <c r="M295" s="2">
        <f t="shared" si="4"/>
        <v>0</v>
      </c>
      <c r="N295" s="2">
        <f t="shared" si="5"/>
        <v>1</v>
      </c>
      <c r="O295" s="2">
        <f t="shared" si="6"/>
        <v>0</v>
      </c>
      <c r="P295" s="2">
        <f t="shared" si="7"/>
        <v>0</v>
      </c>
    </row>
    <row r="296" ht="14.25" customHeight="1">
      <c r="A296" s="4">
        <v>45447.0625</v>
      </c>
      <c r="B296" s="1">
        <v>20.047801366262224</v>
      </c>
      <c r="C296" s="1">
        <v>43.722908202057376</v>
      </c>
      <c r="D296" s="1" t="b">
        <f>IF(AND(dss_report!$B296&gt;30, dss_report!$C296&lt;40), TRUE, FALSE)</f>
        <v>0</v>
      </c>
      <c r="E296" s="1"/>
      <c r="F296" s="2">
        <f>LET(
 _xlpm.t,dss_report!$B296, _xlpm.lo,18, _xlpm.hi,28,
 IF(AND(_xlpm.t&gt;=_xlpm.lo, _xlpm.t&lt;=_xlpm.hi), 1,
   IF(_xlpm.t&lt;_xlpm.lo, MAX(0, 1 - (_xlpm.lo - _xlpm.t)/(_xlpm.lo*0.5)),
             MAX(0, 1 - (_xlpm.t - _xlpm.hi)/(_xlpm.hi*0.5))
   )
 )
)</f>
        <v>1</v>
      </c>
      <c r="G296" s="2">
        <f>LET(
 _xlpm.h,dss_report!$C296, _xlpm.lo,45, _xlpm.hi,70,
 IF(AND(_xlpm.h&gt;=_xlpm.lo, _xlpm.h&lt;=_xlpm.hi), 1,
   IF(_xlpm.h&lt;_xlpm.lo, MAX(0, 1 - (_xlpm.lo - _xlpm.h)/(_xlpm.lo*0.5)),
             MAX(0, 1 - (_xlpm.h - _xlpm.hi)/(_xlpm.hi*0.5))
   )
 )
)</f>
        <v>0.9432403645</v>
      </c>
      <c r="H296" s="2">
        <f t="shared" si="1"/>
        <v>0.9772961458</v>
      </c>
      <c r="I296" s="2" t="b">
        <f>IF(OR(dss_report!$D296=TRUE, H296&lt;0.3), TRUE, FALSE)</f>
        <v>0</v>
      </c>
      <c r="J296" s="2" t="b">
        <f>IF( OR( AND(dss_report!$B296&gt;31, dss_report!$C296&lt;38), H296&lt;0.25 ), TRUE, FALSE)</f>
        <v>0</v>
      </c>
      <c r="K296" s="2">
        <f t="shared" si="2"/>
        <v>0</v>
      </c>
      <c r="L296" s="2">
        <f t="shared" si="3"/>
        <v>0</v>
      </c>
      <c r="M296" s="2">
        <f t="shared" si="4"/>
        <v>0</v>
      </c>
      <c r="N296" s="2">
        <f t="shared" si="5"/>
        <v>1</v>
      </c>
      <c r="O296" s="2">
        <f t="shared" si="6"/>
        <v>0</v>
      </c>
      <c r="P296" s="2">
        <f t="shared" si="7"/>
        <v>0</v>
      </c>
    </row>
    <row r="297" ht="14.25" customHeight="1">
      <c r="A297" s="4">
        <v>45447.072916666664</v>
      </c>
      <c r="B297" s="1">
        <v>20.851163122601523</v>
      </c>
      <c r="C297" s="1">
        <v>41.72219339187552</v>
      </c>
      <c r="D297" s="1" t="b">
        <f>IF(AND(dss_report!$B297&gt;30, dss_report!$C297&lt;40), TRUE, FALSE)</f>
        <v>0</v>
      </c>
      <c r="E297" s="1"/>
      <c r="F297" s="2">
        <f>LET(
 _xlpm.t,dss_report!$B297, _xlpm.lo,18, _xlpm.hi,28,
 IF(AND(_xlpm.t&gt;=_xlpm.lo, _xlpm.t&lt;=_xlpm.hi), 1,
   IF(_xlpm.t&lt;_xlpm.lo, MAX(0, 1 - (_xlpm.lo - _xlpm.t)/(_xlpm.lo*0.5)),
             MAX(0, 1 - (_xlpm.t - _xlpm.hi)/(_xlpm.hi*0.5))
   )
 )
)</f>
        <v>1</v>
      </c>
      <c r="G297" s="2">
        <f>LET(
 _xlpm.h,dss_report!$C297, _xlpm.lo,45, _xlpm.hi,70,
 IF(AND(_xlpm.h&gt;=_xlpm.lo, _xlpm.h&lt;=_xlpm.hi), 1,
   IF(_xlpm.h&lt;_xlpm.lo, MAX(0, 1 - (_xlpm.lo - _xlpm.h)/(_xlpm.lo*0.5)),
             MAX(0, 1 - (_xlpm.h - _xlpm.hi)/(_xlpm.hi*0.5))
   )
 )
)</f>
        <v>0.8543197063</v>
      </c>
      <c r="H297" s="2">
        <f t="shared" si="1"/>
        <v>0.9417278825</v>
      </c>
      <c r="I297" s="2" t="b">
        <f>IF(OR(dss_report!$D297=TRUE, H297&lt;0.3), TRUE, FALSE)</f>
        <v>0</v>
      </c>
      <c r="J297" s="2" t="b">
        <f>IF( OR( AND(dss_report!$B297&gt;31, dss_report!$C297&lt;38), H297&lt;0.25 ), TRUE, FALSE)</f>
        <v>0</v>
      </c>
      <c r="K297" s="2">
        <f t="shared" si="2"/>
        <v>0</v>
      </c>
      <c r="L297" s="2">
        <f t="shared" si="3"/>
        <v>0</v>
      </c>
      <c r="M297" s="2">
        <f t="shared" si="4"/>
        <v>0</v>
      </c>
      <c r="N297" s="2">
        <f t="shared" si="5"/>
        <v>1</v>
      </c>
      <c r="O297" s="2">
        <f t="shared" si="6"/>
        <v>0</v>
      </c>
      <c r="P297" s="2">
        <f t="shared" si="7"/>
        <v>0</v>
      </c>
    </row>
    <row r="298" ht="14.25" customHeight="1">
      <c r="A298" s="4">
        <v>45447.083333333336</v>
      </c>
      <c r="B298" s="1">
        <v>21.355835869393417</v>
      </c>
      <c r="C298" s="1">
        <v>40.94547153775591</v>
      </c>
      <c r="D298" s="1" t="b">
        <f>IF(AND(dss_report!$B298&gt;30, dss_report!$C298&lt;40), TRUE, FALSE)</f>
        <v>0</v>
      </c>
      <c r="E298" s="1"/>
      <c r="F298" s="2">
        <f>LET(
 _xlpm.t,dss_report!$B298, _xlpm.lo,18, _xlpm.hi,28,
 IF(AND(_xlpm.t&gt;=_xlpm.lo, _xlpm.t&lt;=_xlpm.hi), 1,
   IF(_xlpm.t&lt;_xlpm.lo, MAX(0, 1 - (_xlpm.lo - _xlpm.t)/(_xlpm.lo*0.5)),
             MAX(0, 1 - (_xlpm.t - _xlpm.hi)/(_xlpm.hi*0.5))
   )
 )
)</f>
        <v>1</v>
      </c>
      <c r="G298" s="2">
        <f>LET(
 _xlpm.h,dss_report!$C298, _xlpm.lo,45, _xlpm.hi,70,
 IF(AND(_xlpm.h&gt;=_xlpm.lo, _xlpm.h&lt;=_xlpm.hi), 1,
   IF(_xlpm.h&lt;_xlpm.lo, MAX(0, 1 - (_xlpm.lo - _xlpm.h)/(_xlpm.lo*0.5)),
             MAX(0, 1 - (_xlpm.h - _xlpm.hi)/(_xlpm.hi*0.5))
   )
 )
)</f>
        <v>0.819798735</v>
      </c>
      <c r="H298" s="2">
        <f t="shared" si="1"/>
        <v>0.927919494</v>
      </c>
      <c r="I298" s="2" t="b">
        <f>IF(OR(dss_report!$D298=TRUE, H298&lt;0.3), TRUE, FALSE)</f>
        <v>0</v>
      </c>
      <c r="J298" s="2" t="b">
        <f>IF( OR( AND(dss_report!$B298&gt;31, dss_report!$C298&lt;38), H298&lt;0.25 ), TRUE, FALSE)</f>
        <v>0</v>
      </c>
      <c r="K298" s="2">
        <f t="shared" si="2"/>
        <v>0</v>
      </c>
      <c r="L298" s="2">
        <f t="shared" si="3"/>
        <v>0</v>
      </c>
      <c r="M298" s="2">
        <f t="shared" si="4"/>
        <v>0</v>
      </c>
      <c r="N298" s="2">
        <f t="shared" si="5"/>
        <v>1</v>
      </c>
      <c r="O298" s="2">
        <f t="shared" si="6"/>
        <v>0</v>
      </c>
      <c r="P298" s="2">
        <f t="shared" si="7"/>
        <v>0</v>
      </c>
    </row>
    <row r="299" ht="14.25" customHeight="1">
      <c r="A299" s="4">
        <v>45447.09375</v>
      </c>
      <c r="B299" s="1">
        <v>20.515913538765947</v>
      </c>
      <c r="C299" s="1">
        <v>42.19142052312985</v>
      </c>
      <c r="D299" s="1" t="b">
        <f>IF(AND(dss_report!$B299&gt;30, dss_report!$C299&lt;40), TRUE, FALSE)</f>
        <v>0</v>
      </c>
      <c r="E299" s="1"/>
      <c r="F299" s="2">
        <f>LET(
 _xlpm.t,dss_report!$B299, _xlpm.lo,18, _xlpm.hi,28,
 IF(AND(_xlpm.t&gt;=_xlpm.lo, _xlpm.t&lt;=_xlpm.hi), 1,
   IF(_xlpm.t&lt;_xlpm.lo, MAX(0, 1 - (_xlpm.lo - _xlpm.t)/(_xlpm.lo*0.5)),
             MAX(0, 1 - (_xlpm.t - _xlpm.hi)/(_xlpm.hi*0.5))
   )
 )
)</f>
        <v>1</v>
      </c>
      <c r="G299" s="2">
        <f>LET(
 _xlpm.h,dss_report!$C299, _xlpm.lo,45, _xlpm.hi,70,
 IF(AND(_xlpm.h&gt;=_xlpm.lo, _xlpm.h&lt;=_xlpm.hi), 1,
   IF(_xlpm.h&lt;_xlpm.lo, MAX(0, 1 - (_xlpm.lo - _xlpm.h)/(_xlpm.lo*0.5)),
             MAX(0, 1 - (_xlpm.h - _xlpm.hi)/(_xlpm.hi*0.5))
   )
 )
)</f>
        <v>0.8751742455</v>
      </c>
      <c r="H299" s="2">
        <f t="shared" si="1"/>
        <v>0.9500696982</v>
      </c>
      <c r="I299" s="2" t="b">
        <f>IF(OR(dss_report!$D299=TRUE, H299&lt;0.3), TRUE, FALSE)</f>
        <v>0</v>
      </c>
      <c r="J299" s="2" t="b">
        <f>IF( OR( AND(dss_report!$B299&gt;31, dss_report!$C299&lt;38), H299&lt;0.25 ), TRUE, FALSE)</f>
        <v>0</v>
      </c>
      <c r="K299" s="2">
        <f t="shared" si="2"/>
        <v>0</v>
      </c>
      <c r="L299" s="2">
        <f t="shared" si="3"/>
        <v>0</v>
      </c>
      <c r="M299" s="2">
        <f t="shared" si="4"/>
        <v>0</v>
      </c>
      <c r="N299" s="2">
        <f t="shared" si="5"/>
        <v>1</v>
      </c>
      <c r="O299" s="2">
        <f t="shared" si="6"/>
        <v>0</v>
      </c>
      <c r="P299" s="2">
        <f t="shared" si="7"/>
        <v>0</v>
      </c>
    </row>
    <row r="300" ht="14.25" customHeight="1">
      <c r="A300" s="4">
        <v>45447.104166666664</v>
      </c>
      <c r="B300" s="1">
        <v>19.97873437094608</v>
      </c>
      <c r="C300" s="1">
        <v>40.81872884124964</v>
      </c>
      <c r="D300" s="1" t="b">
        <f>IF(AND(dss_report!$B300&gt;30, dss_report!$C300&lt;40), TRUE, FALSE)</f>
        <v>0</v>
      </c>
      <c r="E300" s="1"/>
      <c r="F300" s="2">
        <f>LET(
 _xlpm.t,dss_report!$B300, _xlpm.lo,18, _xlpm.hi,28,
 IF(AND(_xlpm.t&gt;=_xlpm.lo, _xlpm.t&lt;=_xlpm.hi), 1,
   IF(_xlpm.t&lt;_xlpm.lo, MAX(0, 1 - (_xlpm.lo - _xlpm.t)/(_xlpm.lo*0.5)),
             MAX(0, 1 - (_xlpm.t - _xlpm.hi)/(_xlpm.hi*0.5))
   )
 )
)</f>
        <v>1</v>
      </c>
      <c r="G300" s="2">
        <f>LET(
 _xlpm.h,dss_report!$C300, _xlpm.lo,45, _xlpm.hi,70,
 IF(AND(_xlpm.h&gt;=_xlpm.lo, _xlpm.h&lt;=_xlpm.hi), 1,
   IF(_xlpm.h&lt;_xlpm.lo, MAX(0, 1 - (_xlpm.lo - _xlpm.h)/(_xlpm.lo*0.5)),
             MAX(0, 1 - (_xlpm.h - _xlpm.hi)/(_xlpm.hi*0.5))
   )
 )
)</f>
        <v>0.8141657263</v>
      </c>
      <c r="H300" s="2">
        <f t="shared" si="1"/>
        <v>0.9256662905</v>
      </c>
      <c r="I300" s="2" t="b">
        <f>IF(OR(dss_report!$D300=TRUE, H300&lt;0.3), TRUE, FALSE)</f>
        <v>0</v>
      </c>
      <c r="J300" s="2" t="b">
        <f>IF( OR( AND(dss_report!$B300&gt;31, dss_report!$C300&lt;38), H300&lt;0.25 ), TRUE, FALSE)</f>
        <v>0</v>
      </c>
      <c r="K300" s="2">
        <f t="shared" si="2"/>
        <v>0</v>
      </c>
      <c r="L300" s="2">
        <f t="shared" si="3"/>
        <v>0</v>
      </c>
      <c r="M300" s="2">
        <f t="shared" si="4"/>
        <v>0</v>
      </c>
      <c r="N300" s="2">
        <f t="shared" si="5"/>
        <v>1</v>
      </c>
      <c r="O300" s="2">
        <f t="shared" si="6"/>
        <v>0</v>
      </c>
      <c r="P300" s="2">
        <f t="shared" si="7"/>
        <v>0</v>
      </c>
    </row>
    <row r="301" ht="14.25" customHeight="1">
      <c r="A301" s="4">
        <v>45447.114583333336</v>
      </c>
      <c r="B301" s="1">
        <v>21.887616186416658</v>
      </c>
      <c r="C301" s="1">
        <v>39.42784345256937</v>
      </c>
      <c r="D301" s="1" t="b">
        <f>IF(AND(dss_report!$B301&gt;30, dss_report!$C301&lt;40), TRUE, FALSE)</f>
        <v>0</v>
      </c>
      <c r="E301" s="1"/>
      <c r="F301" s="2">
        <f>LET(
 _xlpm.t,dss_report!$B301, _xlpm.lo,18, _xlpm.hi,28,
 IF(AND(_xlpm.t&gt;=_xlpm.lo, _xlpm.t&lt;=_xlpm.hi), 1,
   IF(_xlpm.t&lt;_xlpm.lo, MAX(0, 1 - (_xlpm.lo - _xlpm.t)/(_xlpm.lo*0.5)),
             MAX(0, 1 - (_xlpm.t - _xlpm.hi)/(_xlpm.hi*0.5))
   )
 )
)</f>
        <v>1</v>
      </c>
      <c r="G301" s="2">
        <f>LET(
 _xlpm.h,dss_report!$C301, _xlpm.lo,45, _xlpm.hi,70,
 IF(AND(_xlpm.h&gt;=_xlpm.lo, _xlpm.h&lt;=_xlpm.hi), 1,
   IF(_xlpm.h&lt;_xlpm.lo, MAX(0, 1 - (_xlpm.lo - _xlpm.h)/(_xlpm.lo*0.5)),
             MAX(0, 1 - (_xlpm.h - _xlpm.hi)/(_xlpm.hi*0.5))
   )
 )
)</f>
        <v>0.7523485979</v>
      </c>
      <c r="H301" s="2">
        <f t="shared" si="1"/>
        <v>0.9009394392</v>
      </c>
      <c r="I301" s="2" t="b">
        <f>IF(OR(dss_report!$D301=TRUE, H301&lt;0.3), TRUE, FALSE)</f>
        <v>0</v>
      </c>
      <c r="J301" s="2" t="b">
        <f>IF( OR( AND(dss_report!$B301&gt;31, dss_report!$C301&lt;38), H301&lt;0.25 ), TRUE, FALSE)</f>
        <v>0</v>
      </c>
      <c r="K301" s="2">
        <f t="shared" si="2"/>
        <v>0</v>
      </c>
      <c r="L301" s="2">
        <f t="shared" si="3"/>
        <v>0</v>
      </c>
      <c r="M301" s="2">
        <f t="shared" si="4"/>
        <v>0</v>
      </c>
      <c r="N301" s="2">
        <f t="shared" si="5"/>
        <v>1</v>
      </c>
      <c r="O301" s="2">
        <f t="shared" si="6"/>
        <v>0</v>
      </c>
      <c r="P301" s="2">
        <f t="shared" si="7"/>
        <v>0</v>
      </c>
    </row>
    <row r="302" ht="14.25" customHeight="1">
      <c r="A302" s="4">
        <v>45447.125</v>
      </c>
      <c r="B302" s="1">
        <v>20.51074788278129</v>
      </c>
      <c r="C302" s="1">
        <v>44.51311157277934</v>
      </c>
      <c r="D302" s="1" t="b">
        <f>IF(AND(dss_report!$B302&gt;30, dss_report!$C302&lt;40), TRUE, FALSE)</f>
        <v>0</v>
      </c>
      <c r="E302" s="1"/>
      <c r="F302" s="2">
        <f>LET(
 _xlpm.t,dss_report!$B302, _xlpm.lo,18, _xlpm.hi,28,
 IF(AND(_xlpm.t&gt;=_xlpm.lo, _xlpm.t&lt;=_xlpm.hi), 1,
   IF(_xlpm.t&lt;_xlpm.lo, MAX(0, 1 - (_xlpm.lo - _xlpm.t)/(_xlpm.lo*0.5)),
             MAX(0, 1 - (_xlpm.t - _xlpm.hi)/(_xlpm.hi*0.5))
   )
 )
)</f>
        <v>1</v>
      </c>
      <c r="G302" s="2">
        <f>LET(
 _xlpm.h,dss_report!$C302, _xlpm.lo,45, _xlpm.hi,70,
 IF(AND(_xlpm.h&gt;=_xlpm.lo, _xlpm.h&lt;=_xlpm.hi), 1,
   IF(_xlpm.h&lt;_xlpm.lo, MAX(0, 1 - (_xlpm.lo - _xlpm.h)/(_xlpm.lo*0.5)),
             MAX(0, 1 - (_xlpm.h - _xlpm.hi)/(_xlpm.hi*0.5))
   )
 )
)</f>
        <v>0.9783605143</v>
      </c>
      <c r="H302" s="2">
        <f t="shared" si="1"/>
        <v>0.9913442057</v>
      </c>
      <c r="I302" s="2" t="b">
        <f>IF(OR(dss_report!$D302=TRUE, H302&lt;0.3), TRUE, FALSE)</f>
        <v>0</v>
      </c>
      <c r="J302" s="2" t="b">
        <f>IF( OR( AND(dss_report!$B302&gt;31, dss_report!$C302&lt;38), H302&lt;0.25 ), TRUE, FALSE)</f>
        <v>0</v>
      </c>
      <c r="K302" s="2">
        <f t="shared" si="2"/>
        <v>0</v>
      </c>
      <c r="L302" s="2">
        <f t="shared" si="3"/>
        <v>0</v>
      </c>
      <c r="M302" s="2">
        <f t="shared" si="4"/>
        <v>0</v>
      </c>
      <c r="N302" s="2">
        <f t="shared" si="5"/>
        <v>1</v>
      </c>
      <c r="O302" s="2">
        <f t="shared" si="6"/>
        <v>0</v>
      </c>
      <c r="P302" s="2">
        <f t="shared" si="7"/>
        <v>0</v>
      </c>
    </row>
    <row r="303" ht="14.25" customHeight="1">
      <c r="A303" s="4">
        <v>45447.135416666664</v>
      </c>
      <c r="B303" s="1">
        <v>22.209373161780004</v>
      </c>
      <c r="C303" s="1">
        <v>40.22327295126277</v>
      </c>
      <c r="D303" s="1" t="b">
        <f>IF(AND(dss_report!$B303&gt;30, dss_report!$C303&lt;40), TRUE, FALSE)</f>
        <v>0</v>
      </c>
      <c r="E303" s="1"/>
      <c r="F303" s="2">
        <f>LET(
 _xlpm.t,dss_report!$B303, _xlpm.lo,18, _xlpm.hi,28,
 IF(AND(_xlpm.t&gt;=_xlpm.lo, _xlpm.t&lt;=_xlpm.hi), 1,
   IF(_xlpm.t&lt;_xlpm.lo, MAX(0, 1 - (_xlpm.lo - _xlpm.t)/(_xlpm.lo*0.5)),
             MAX(0, 1 - (_xlpm.t - _xlpm.hi)/(_xlpm.hi*0.5))
   )
 )
)</f>
        <v>1</v>
      </c>
      <c r="G303" s="2">
        <f>LET(
 _xlpm.h,dss_report!$C303, _xlpm.lo,45, _xlpm.hi,70,
 IF(AND(_xlpm.h&gt;=_xlpm.lo, _xlpm.h&lt;=_xlpm.hi), 1,
   IF(_xlpm.h&lt;_xlpm.lo, MAX(0, 1 - (_xlpm.lo - _xlpm.h)/(_xlpm.lo*0.5)),
             MAX(0, 1 - (_xlpm.h - _xlpm.hi)/(_xlpm.hi*0.5))
   )
 )
)</f>
        <v>0.7877010201</v>
      </c>
      <c r="H303" s="2">
        <f t="shared" si="1"/>
        <v>0.915080408</v>
      </c>
      <c r="I303" s="2" t="b">
        <f>IF(OR(dss_report!$D303=TRUE, H303&lt;0.3), TRUE, FALSE)</f>
        <v>0</v>
      </c>
      <c r="J303" s="2" t="b">
        <f>IF( OR( AND(dss_report!$B303&gt;31, dss_report!$C303&lt;38), H303&lt;0.25 ), TRUE, FALSE)</f>
        <v>0</v>
      </c>
      <c r="K303" s="2">
        <f t="shared" si="2"/>
        <v>0</v>
      </c>
      <c r="L303" s="2">
        <f t="shared" si="3"/>
        <v>0</v>
      </c>
      <c r="M303" s="2">
        <f t="shared" si="4"/>
        <v>0</v>
      </c>
      <c r="N303" s="2">
        <f t="shared" si="5"/>
        <v>1</v>
      </c>
      <c r="O303" s="2">
        <f t="shared" si="6"/>
        <v>0</v>
      </c>
      <c r="P303" s="2">
        <f t="shared" si="7"/>
        <v>0</v>
      </c>
    </row>
    <row r="304" ht="14.25" customHeight="1">
      <c r="A304" s="4">
        <v>45447.145833333336</v>
      </c>
      <c r="B304" s="1">
        <v>21.45574127735588</v>
      </c>
      <c r="C304" s="1">
        <v>45.62176464076515</v>
      </c>
      <c r="D304" s="1" t="b">
        <f>IF(AND(dss_report!$B304&gt;30, dss_report!$C304&lt;40), TRUE, FALSE)</f>
        <v>0</v>
      </c>
      <c r="E304" s="1"/>
      <c r="F304" s="2">
        <f>LET(
 _xlpm.t,dss_report!$B304, _xlpm.lo,18, _xlpm.hi,28,
 IF(AND(_xlpm.t&gt;=_xlpm.lo, _xlpm.t&lt;=_xlpm.hi), 1,
   IF(_xlpm.t&lt;_xlpm.lo, MAX(0, 1 - (_xlpm.lo - _xlpm.t)/(_xlpm.lo*0.5)),
             MAX(0, 1 - (_xlpm.t - _xlpm.hi)/(_xlpm.hi*0.5))
   )
 )
)</f>
        <v>1</v>
      </c>
      <c r="G304" s="2">
        <f>LET(
 _xlpm.h,dss_report!$C304, _xlpm.lo,45, _xlpm.hi,70,
 IF(AND(_xlpm.h&gt;=_xlpm.lo, _xlpm.h&lt;=_xlpm.hi), 1,
   IF(_xlpm.h&lt;_xlpm.lo, MAX(0, 1 - (_xlpm.lo - _xlpm.h)/(_xlpm.lo*0.5)),
             MAX(0, 1 - (_xlpm.h - _xlpm.hi)/(_xlpm.hi*0.5))
   )
 )
)</f>
        <v>1</v>
      </c>
      <c r="H304" s="2">
        <f t="shared" si="1"/>
        <v>1</v>
      </c>
      <c r="I304" s="2" t="b">
        <f>IF(OR(dss_report!$D304=TRUE, H304&lt;0.3), TRUE, FALSE)</f>
        <v>0</v>
      </c>
      <c r="J304" s="2" t="b">
        <f>IF( OR( AND(dss_report!$B304&gt;31, dss_report!$C304&lt;38), H304&lt;0.25 ), TRUE, FALSE)</f>
        <v>0</v>
      </c>
      <c r="K304" s="2">
        <f t="shared" si="2"/>
        <v>0</v>
      </c>
      <c r="L304" s="2">
        <f t="shared" si="3"/>
        <v>0</v>
      </c>
      <c r="M304" s="2">
        <f t="shared" si="4"/>
        <v>0</v>
      </c>
      <c r="N304" s="2">
        <f t="shared" si="5"/>
        <v>1</v>
      </c>
      <c r="O304" s="2">
        <f t="shared" si="6"/>
        <v>0</v>
      </c>
      <c r="P304" s="2">
        <f t="shared" si="7"/>
        <v>0</v>
      </c>
    </row>
    <row r="305" ht="14.25" customHeight="1">
      <c r="A305" s="4">
        <v>45447.15625</v>
      </c>
      <c r="B305" s="1">
        <v>21.12954380366524</v>
      </c>
      <c r="C305" s="1">
        <v>43.085259428923564</v>
      </c>
      <c r="D305" s="1" t="b">
        <f>IF(AND(dss_report!$B305&gt;30, dss_report!$C305&lt;40), TRUE, FALSE)</f>
        <v>0</v>
      </c>
      <c r="E305" s="1"/>
      <c r="F305" s="2">
        <f>LET(
 _xlpm.t,dss_report!$B305, _xlpm.lo,18, _xlpm.hi,28,
 IF(AND(_xlpm.t&gt;=_xlpm.lo, _xlpm.t&lt;=_xlpm.hi), 1,
   IF(_xlpm.t&lt;_xlpm.lo, MAX(0, 1 - (_xlpm.lo - _xlpm.t)/(_xlpm.lo*0.5)),
             MAX(0, 1 - (_xlpm.t - _xlpm.hi)/(_xlpm.hi*0.5))
   )
 )
)</f>
        <v>1</v>
      </c>
      <c r="G305" s="2">
        <f>LET(
 _xlpm.h,dss_report!$C305, _xlpm.lo,45, _xlpm.hi,70,
 IF(AND(_xlpm.h&gt;=_xlpm.lo, _xlpm.h&lt;=_xlpm.hi), 1,
   IF(_xlpm.h&lt;_xlpm.lo, MAX(0, 1 - (_xlpm.lo - _xlpm.h)/(_xlpm.lo*0.5)),
             MAX(0, 1 - (_xlpm.h - _xlpm.hi)/(_xlpm.hi*0.5))
   )
 )
)</f>
        <v>0.9149004191</v>
      </c>
      <c r="H305" s="2">
        <f t="shared" si="1"/>
        <v>0.9659601676</v>
      </c>
      <c r="I305" s="2" t="b">
        <f>IF(OR(dss_report!$D305=TRUE, H305&lt;0.3), TRUE, FALSE)</f>
        <v>0</v>
      </c>
      <c r="J305" s="2" t="b">
        <f>IF( OR( AND(dss_report!$B305&gt;31, dss_report!$C305&lt;38), H305&lt;0.25 ), TRUE, FALSE)</f>
        <v>0</v>
      </c>
      <c r="K305" s="2">
        <f t="shared" si="2"/>
        <v>0</v>
      </c>
      <c r="L305" s="2">
        <f t="shared" si="3"/>
        <v>0</v>
      </c>
      <c r="M305" s="2">
        <f t="shared" si="4"/>
        <v>0</v>
      </c>
      <c r="N305" s="2">
        <f t="shared" si="5"/>
        <v>1</v>
      </c>
      <c r="O305" s="2">
        <f t="shared" si="6"/>
        <v>0</v>
      </c>
      <c r="P305" s="2">
        <f t="shared" si="7"/>
        <v>0</v>
      </c>
    </row>
    <row r="306" ht="14.25" customHeight="1">
      <c r="A306" s="4">
        <v>45447.166666666664</v>
      </c>
      <c r="B306" s="1">
        <v>21.298691803350508</v>
      </c>
      <c r="C306" s="1">
        <v>41.180239880443914</v>
      </c>
      <c r="D306" s="1" t="b">
        <f>IF(AND(dss_report!$B306&gt;30, dss_report!$C306&lt;40), TRUE, FALSE)</f>
        <v>0</v>
      </c>
      <c r="E306" s="1"/>
      <c r="F306" s="2">
        <f>LET(
 _xlpm.t,dss_report!$B306, _xlpm.lo,18, _xlpm.hi,28,
 IF(AND(_xlpm.t&gt;=_xlpm.lo, _xlpm.t&lt;=_xlpm.hi), 1,
   IF(_xlpm.t&lt;_xlpm.lo, MAX(0, 1 - (_xlpm.lo - _xlpm.t)/(_xlpm.lo*0.5)),
             MAX(0, 1 - (_xlpm.t - _xlpm.hi)/(_xlpm.hi*0.5))
   )
 )
)</f>
        <v>1</v>
      </c>
      <c r="G306" s="2">
        <f>LET(
 _xlpm.h,dss_report!$C306, _xlpm.lo,45, _xlpm.hi,70,
 IF(AND(_xlpm.h&gt;=_xlpm.lo, _xlpm.h&lt;=_xlpm.hi), 1,
   IF(_xlpm.h&lt;_xlpm.lo, MAX(0, 1 - (_xlpm.lo - _xlpm.h)/(_xlpm.lo*0.5)),
             MAX(0, 1 - (_xlpm.h - _xlpm.hi)/(_xlpm.hi*0.5))
   )
 )
)</f>
        <v>0.8302328836</v>
      </c>
      <c r="H306" s="2">
        <f t="shared" si="1"/>
        <v>0.9320931534</v>
      </c>
      <c r="I306" s="2" t="b">
        <f>IF(OR(dss_report!$D306=TRUE, H306&lt;0.3), TRUE, FALSE)</f>
        <v>0</v>
      </c>
      <c r="J306" s="2" t="b">
        <f>IF( OR( AND(dss_report!$B306&gt;31, dss_report!$C306&lt;38), H306&lt;0.25 ), TRUE, FALSE)</f>
        <v>0</v>
      </c>
      <c r="K306" s="2">
        <f t="shared" si="2"/>
        <v>0</v>
      </c>
      <c r="L306" s="2">
        <f t="shared" si="3"/>
        <v>0</v>
      </c>
      <c r="M306" s="2">
        <f t="shared" si="4"/>
        <v>0</v>
      </c>
      <c r="N306" s="2">
        <f t="shared" si="5"/>
        <v>1</v>
      </c>
      <c r="O306" s="2">
        <f t="shared" si="6"/>
        <v>0</v>
      </c>
      <c r="P306" s="2">
        <f t="shared" si="7"/>
        <v>0</v>
      </c>
    </row>
    <row r="307" ht="14.25" customHeight="1">
      <c r="A307" s="4">
        <v>45447.177083333336</v>
      </c>
      <c r="B307" s="1">
        <v>22.201848957475356</v>
      </c>
      <c r="C307" s="1">
        <v>43.00611777936345</v>
      </c>
      <c r="D307" s="1" t="b">
        <f>IF(AND(dss_report!$B307&gt;30, dss_report!$C307&lt;40), TRUE, FALSE)</f>
        <v>0</v>
      </c>
      <c r="E307" s="1"/>
      <c r="F307" s="2">
        <f>LET(
 _xlpm.t,dss_report!$B307, _xlpm.lo,18, _xlpm.hi,28,
 IF(AND(_xlpm.t&gt;=_xlpm.lo, _xlpm.t&lt;=_xlpm.hi), 1,
   IF(_xlpm.t&lt;_xlpm.lo, MAX(0, 1 - (_xlpm.lo - _xlpm.t)/(_xlpm.lo*0.5)),
             MAX(0, 1 - (_xlpm.t - _xlpm.hi)/(_xlpm.hi*0.5))
   )
 )
)</f>
        <v>1</v>
      </c>
      <c r="G307" s="2">
        <f>LET(
 _xlpm.h,dss_report!$C307, _xlpm.lo,45, _xlpm.hi,70,
 IF(AND(_xlpm.h&gt;=_xlpm.lo, _xlpm.h&lt;=_xlpm.hi), 1,
   IF(_xlpm.h&lt;_xlpm.lo, MAX(0, 1 - (_xlpm.lo - _xlpm.h)/(_xlpm.lo*0.5)),
             MAX(0, 1 - (_xlpm.h - _xlpm.hi)/(_xlpm.hi*0.5))
   )
 )
)</f>
        <v>0.9113830124</v>
      </c>
      <c r="H307" s="2">
        <f t="shared" si="1"/>
        <v>0.964553205</v>
      </c>
      <c r="I307" s="2" t="b">
        <f>IF(OR(dss_report!$D307=TRUE, H307&lt;0.3), TRUE, FALSE)</f>
        <v>0</v>
      </c>
      <c r="J307" s="2" t="b">
        <f>IF( OR( AND(dss_report!$B307&gt;31, dss_report!$C307&lt;38), H307&lt;0.25 ), TRUE, FALSE)</f>
        <v>0</v>
      </c>
      <c r="K307" s="2">
        <f t="shared" si="2"/>
        <v>0</v>
      </c>
      <c r="L307" s="2">
        <f t="shared" si="3"/>
        <v>0</v>
      </c>
      <c r="M307" s="2">
        <f t="shared" si="4"/>
        <v>0</v>
      </c>
      <c r="N307" s="2">
        <f t="shared" si="5"/>
        <v>1</v>
      </c>
      <c r="O307" s="2">
        <f t="shared" si="6"/>
        <v>0</v>
      </c>
      <c r="P307" s="2">
        <f t="shared" si="7"/>
        <v>0</v>
      </c>
    </row>
    <row r="308" ht="14.25" customHeight="1">
      <c r="A308" s="4">
        <v>45447.1875</v>
      </c>
      <c r="B308" s="1">
        <v>22.636213309108438</v>
      </c>
      <c r="C308" s="1">
        <v>44.64039543118414</v>
      </c>
      <c r="D308" s="1" t="b">
        <f>IF(AND(dss_report!$B308&gt;30, dss_report!$C308&lt;40), TRUE, FALSE)</f>
        <v>0</v>
      </c>
      <c r="E308" s="1"/>
      <c r="F308" s="2">
        <f>LET(
 _xlpm.t,dss_report!$B308, _xlpm.lo,18, _xlpm.hi,28,
 IF(AND(_xlpm.t&gt;=_xlpm.lo, _xlpm.t&lt;=_xlpm.hi), 1,
   IF(_xlpm.t&lt;_xlpm.lo, MAX(0, 1 - (_xlpm.lo - _xlpm.t)/(_xlpm.lo*0.5)),
             MAX(0, 1 - (_xlpm.t - _xlpm.hi)/(_xlpm.hi*0.5))
   )
 )
)</f>
        <v>1</v>
      </c>
      <c r="G308" s="2">
        <f>LET(
 _xlpm.h,dss_report!$C308, _xlpm.lo,45, _xlpm.hi,70,
 IF(AND(_xlpm.h&gt;=_xlpm.lo, _xlpm.h&lt;=_xlpm.hi), 1,
   IF(_xlpm.h&lt;_xlpm.lo, MAX(0, 1 - (_xlpm.lo - _xlpm.h)/(_xlpm.lo*0.5)),
             MAX(0, 1 - (_xlpm.h - _xlpm.hi)/(_xlpm.hi*0.5))
   )
 )
)</f>
        <v>0.9840175747</v>
      </c>
      <c r="H308" s="2">
        <f t="shared" si="1"/>
        <v>0.9936070299</v>
      </c>
      <c r="I308" s="2" t="b">
        <f>IF(OR(dss_report!$D308=TRUE, H308&lt;0.3), TRUE, FALSE)</f>
        <v>0</v>
      </c>
      <c r="J308" s="2" t="b">
        <f>IF( OR( AND(dss_report!$B308&gt;31, dss_report!$C308&lt;38), H308&lt;0.25 ), TRUE, FALSE)</f>
        <v>0</v>
      </c>
      <c r="K308" s="2">
        <f t="shared" si="2"/>
        <v>0</v>
      </c>
      <c r="L308" s="2">
        <f t="shared" si="3"/>
        <v>0</v>
      </c>
      <c r="M308" s="2">
        <f t="shared" si="4"/>
        <v>0</v>
      </c>
      <c r="N308" s="2">
        <f t="shared" si="5"/>
        <v>1</v>
      </c>
      <c r="O308" s="2">
        <f t="shared" si="6"/>
        <v>0</v>
      </c>
      <c r="P308" s="2">
        <f t="shared" si="7"/>
        <v>0</v>
      </c>
    </row>
    <row r="309" ht="14.25" customHeight="1">
      <c r="A309" s="4">
        <v>45447.197916666664</v>
      </c>
      <c r="B309" s="1">
        <v>22.013122482692786</v>
      </c>
      <c r="C309" s="1">
        <v>39.48018800668429</v>
      </c>
      <c r="D309" s="1" t="b">
        <f>IF(AND(dss_report!$B309&gt;30, dss_report!$C309&lt;40), TRUE, FALSE)</f>
        <v>0</v>
      </c>
      <c r="E309" s="1"/>
      <c r="F309" s="2">
        <f>LET(
 _xlpm.t,dss_report!$B309, _xlpm.lo,18, _xlpm.hi,28,
 IF(AND(_xlpm.t&gt;=_xlpm.lo, _xlpm.t&lt;=_xlpm.hi), 1,
   IF(_xlpm.t&lt;_xlpm.lo, MAX(0, 1 - (_xlpm.lo - _xlpm.t)/(_xlpm.lo*0.5)),
             MAX(0, 1 - (_xlpm.t - _xlpm.hi)/(_xlpm.hi*0.5))
   )
 )
)</f>
        <v>1</v>
      </c>
      <c r="G309" s="2">
        <f>LET(
 _xlpm.h,dss_report!$C309, _xlpm.lo,45, _xlpm.hi,70,
 IF(AND(_xlpm.h&gt;=_xlpm.lo, _xlpm.h&lt;=_xlpm.hi), 1,
   IF(_xlpm.h&lt;_xlpm.lo, MAX(0, 1 - (_xlpm.lo - _xlpm.h)/(_xlpm.lo*0.5)),
             MAX(0, 1 - (_xlpm.h - _xlpm.hi)/(_xlpm.hi*0.5))
   )
 )
)</f>
        <v>0.7546750225</v>
      </c>
      <c r="H309" s="2">
        <f t="shared" si="1"/>
        <v>0.901870009</v>
      </c>
      <c r="I309" s="2" t="b">
        <f>IF(OR(dss_report!$D309=TRUE, H309&lt;0.3), TRUE, FALSE)</f>
        <v>0</v>
      </c>
      <c r="J309" s="2" t="b">
        <f>IF( OR( AND(dss_report!$B309&gt;31, dss_report!$C309&lt;38), H309&lt;0.25 ), TRUE, FALSE)</f>
        <v>0</v>
      </c>
      <c r="K309" s="2">
        <f t="shared" si="2"/>
        <v>0</v>
      </c>
      <c r="L309" s="2">
        <f t="shared" si="3"/>
        <v>0</v>
      </c>
      <c r="M309" s="2">
        <f t="shared" si="4"/>
        <v>0</v>
      </c>
      <c r="N309" s="2">
        <f t="shared" si="5"/>
        <v>1</v>
      </c>
      <c r="O309" s="2">
        <f t="shared" si="6"/>
        <v>0</v>
      </c>
      <c r="P309" s="2">
        <f t="shared" si="7"/>
        <v>0</v>
      </c>
    </row>
    <row r="310" ht="14.25" customHeight="1">
      <c r="A310" s="4">
        <v>45447.208333333336</v>
      </c>
      <c r="B310" s="1">
        <v>22.955748325674524</v>
      </c>
      <c r="C310" s="1">
        <v>40.44831010264025</v>
      </c>
      <c r="D310" s="1" t="b">
        <f>IF(AND(dss_report!$B310&gt;30, dss_report!$C310&lt;40), TRUE, FALSE)</f>
        <v>0</v>
      </c>
      <c r="E310" s="1"/>
      <c r="F310" s="2">
        <f>LET(
 _xlpm.t,dss_report!$B310, _xlpm.lo,18, _xlpm.hi,28,
 IF(AND(_xlpm.t&gt;=_xlpm.lo, _xlpm.t&lt;=_xlpm.hi), 1,
   IF(_xlpm.t&lt;_xlpm.lo, MAX(0, 1 - (_xlpm.lo - _xlpm.t)/(_xlpm.lo*0.5)),
             MAX(0, 1 - (_xlpm.t - _xlpm.hi)/(_xlpm.hi*0.5))
   )
 )
)</f>
        <v>1</v>
      </c>
      <c r="G310" s="2">
        <f>LET(
 _xlpm.h,dss_report!$C310, _xlpm.lo,45, _xlpm.hi,70,
 IF(AND(_xlpm.h&gt;=_xlpm.lo, _xlpm.h&lt;=_xlpm.hi), 1,
   IF(_xlpm.h&lt;_xlpm.lo, MAX(0, 1 - (_xlpm.lo - _xlpm.h)/(_xlpm.lo*0.5)),
             MAX(0, 1 - (_xlpm.h - _xlpm.hi)/(_xlpm.hi*0.5))
   )
 )
)</f>
        <v>0.7977026712</v>
      </c>
      <c r="H310" s="2">
        <f t="shared" si="1"/>
        <v>0.9190810685</v>
      </c>
      <c r="I310" s="2" t="b">
        <f>IF(OR(dss_report!$D310=TRUE, H310&lt;0.3), TRUE, FALSE)</f>
        <v>0</v>
      </c>
      <c r="J310" s="2" t="b">
        <f>IF( OR( AND(dss_report!$B310&gt;31, dss_report!$C310&lt;38), H310&lt;0.25 ), TRUE, FALSE)</f>
        <v>0</v>
      </c>
      <c r="K310" s="2">
        <f t="shared" si="2"/>
        <v>0</v>
      </c>
      <c r="L310" s="2">
        <f t="shared" si="3"/>
        <v>0</v>
      </c>
      <c r="M310" s="2">
        <f t="shared" si="4"/>
        <v>0</v>
      </c>
      <c r="N310" s="2">
        <f t="shared" si="5"/>
        <v>1</v>
      </c>
      <c r="O310" s="2">
        <f t="shared" si="6"/>
        <v>0</v>
      </c>
      <c r="P310" s="2">
        <f t="shared" si="7"/>
        <v>0</v>
      </c>
    </row>
    <row r="311" ht="14.25" customHeight="1">
      <c r="A311" s="4">
        <v>45447.21875</v>
      </c>
      <c r="B311" s="1">
        <v>23.897477061695685</v>
      </c>
      <c r="C311" s="1">
        <v>40.27568564964967</v>
      </c>
      <c r="D311" s="1" t="b">
        <f>IF(AND(dss_report!$B311&gt;30, dss_report!$C311&lt;40), TRUE, FALSE)</f>
        <v>0</v>
      </c>
      <c r="E311" s="1"/>
      <c r="F311" s="2">
        <f>LET(
 _xlpm.t,dss_report!$B311, _xlpm.lo,18, _xlpm.hi,28,
 IF(AND(_xlpm.t&gt;=_xlpm.lo, _xlpm.t&lt;=_xlpm.hi), 1,
   IF(_xlpm.t&lt;_xlpm.lo, MAX(0, 1 - (_xlpm.lo - _xlpm.t)/(_xlpm.lo*0.5)),
             MAX(0, 1 - (_xlpm.t - _xlpm.hi)/(_xlpm.hi*0.5))
   )
 )
)</f>
        <v>1</v>
      </c>
      <c r="G311" s="2">
        <f>LET(
 _xlpm.h,dss_report!$C311, _xlpm.lo,45, _xlpm.hi,70,
 IF(AND(_xlpm.h&gt;=_xlpm.lo, _xlpm.h&lt;=_xlpm.hi), 1,
   IF(_xlpm.h&lt;_xlpm.lo, MAX(0, 1 - (_xlpm.lo - _xlpm.h)/(_xlpm.lo*0.5)),
             MAX(0, 1 - (_xlpm.h - _xlpm.hi)/(_xlpm.hi*0.5))
   )
 )
)</f>
        <v>0.7900304733</v>
      </c>
      <c r="H311" s="2">
        <f t="shared" si="1"/>
        <v>0.9160121893</v>
      </c>
      <c r="I311" s="2" t="b">
        <f>IF(OR(dss_report!$D311=TRUE, H311&lt;0.3), TRUE, FALSE)</f>
        <v>0</v>
      </c>
      <c r="J311" s="2" t="b">
        <f>IF( OR( AND(dss_report!$B311&gt;31, dss_report!$C311&lt;38), H311&lt;0.25 ), TRUE, FALSE)</f>
        <v>0</v>
      </c>
      <c r="K311" s="2">
        <f t="shared" si="2"/>
        <v>0</v>
      </c>
      <c r="L311" s="2">
        <f t="shared" si="3"/>
        <v>0</v>
      </c>
      <c r="M311" s="2">
        <f t="shared" si="4"/>
        <v>0</v>
      </c>
      <c r="N311" s="2">
        <f t="shared" si="5"/>
        <v>1</v>
      </c>
      <c r="O311" s="2">
        <f t="shared" si="6"/>
        <v>0</v>
      </c>
      <c r="P311" s="2">
        <f t="shared" si="7"/>
        <v>0</v>
      </c>
    </row>
    <row r="312" ht="14.25" customHeight="1">
      <c r="A312" s="4">
        <v>45447.229166666664</v>
      </c>
      <c r="B312" s="1">
        <v>22.436897291387833</v>
      </c>
      <c r="C312" s="1">
        <v>42.78421179495662</v>
      </c>
      <c r="D312" s="1" t="b">
        <f>IF(AND(dss_report!$B312&gt;30, dss_report!$C312&lt;40), TRUE, FALSE)</f>
        <v>0</v>
      </c>
      <c r="E312" s="1"/>
      <c r="F312" s="2">
        <f>LET(
 _xlpm.t,dss_report!$B312, _xlpm.lo,18, _xlpm.hi,28,
 IF(AND(_xlpm.t&gt;=_xlpm.lo, _xlpm.t&lt;=_xlpm.hi), 1,
   IF(_xlpm.t&lt;_xlpm.lo, MAX(0, 1 - (_xlpm.lo - _xlpm.t)/(_xlpm.lo*0.5)),
             MAX(0, 1 - (_xlpm.t - _xlpm.hi)/(_xlpm.hi*0.5))
   )
 )
)</f>
        <v>1</v>
      </c>
      <c r="G312" s="2">
        <f>LET(
 _xlpm.h,dss_report!$C312, _xlpm.lo,45, _xlpm.hi,70,
 IF(AND(_xlpm.h&gt;=_xlpm.lo, _xlpm.h&lt;=_xlpm.hi), 1,
   IF(_xlpm.h&lt;_xlpm.lo, MAX(0, 1 - (_xlpm.lo - _xlpm.h)/(_xlpm.lo*0.5)),
             MAX(0, 1 - (_xlpm.h - _xlpm.hi)/(_xlpm.hi*0.5))
   )
 )
)</f>
        <v>0.9015205242</v>
      </c>
      <c r="H312" s="2">
        <f t="shared" si="1"/>
        <v>0.9606082097</v>
      </c>
      <c r="I312" s="2" t="b">
        <f>IF(OR(dss_report!$D312=TRUE, H312&lt;0.3), TRUE, FALSE)</f>
        <v>0</v>
      </c>
      <c r="J312" s="2" t="b">
        <f>IF( OR( AND(dss_report!$B312&gt;31, dss_report!$C312&lt;38), H312&lt;0.25 ), TRUE, FALSE)</f>
        <v>0</v>
      </c>
      <c r="K312" s="2">
        <f t="shared" si="2"/>
        <v>0</v>
      </c>
      <c r="L312" s="2">
        <f t="shared" si="3"/>
        <v>0</v>
      </c>
      <c r="M312" s="2">
        <f t="shared" si="4"/>
        <v>0</v>
      </c>
      <c r="N312" s="2">
        <f t="shared" si="5"/>
        <v>1</v>
      </c>
      <c r="O312" s="2">
        <f t="shared" si="6"/>
        <v>0</v>
      </c>
      <c r="P312" s="2">
        <f t="shared" si="7"/>
        <v>0</v>
      </c>
    </row>
    <row r="313" ht="14.25" customHeight="1">
      <c r="A313" s="4">
        <v>45447.239583333336</v>
      </c>
      <c r="B313" s="1">
        <v>21.926417621034496</v>
      </c>
      <c r="C313" s="1">
        <v>43.350063199765714</v>
      </c>
      <c r="D313" s="1" t="b">
        <f>IF(AND(dss_report!$B313&gt;30, dss_report!$C313&lt;40), TRUE, FALSE)</f>
        <v>0</v>
      </c>
      <c r="E313" s="1"/>
      <c r="F313" s="2">
        <f>LET(
 _xlpm.t,dss_report!$B313, _xlpm.lo,18, _xlpm.hi,28,
 IF(AND(_xlpm.t&gt;=_xlpm.lo, _xlpm.t&lt;=_xlpm.hi), 1,
   IF(_xlpm.t&lt;_xlpm.lo, MAX(0, 1 - (_xlpm.lo - _xlpm.t)/(_xlpm.lo*0.5)),
             MAX(0, 1 - (_xlpm.t - _xlpm.hi)/(_xlpm.hi*0.5))
   )
 )
)</f>
        <v>1</v>
      </c>
      <c r="G313" s="2">
        <f>LET(
 _xlpm.h,dss_report!$C313, _xlpm.lo,45, _xlpm.hi,70,
 IF(AND(_xlpm.h&gt;=_xlpm.lo, _xlpm.h&lt;=_xlpm.hi), 1,
   IF(_xlpm.h&lt;_xlpm.lo, MAX(0, 1 - (_xlpm.lo - _xlpm.h)/(_xlpm.lo*0.5)),
             MAX(0, 1 - (_xlpm.h - _xlpm.hi)/(_xlpm.hi*0.5))
   )
 )
)</f>
        <v>0.9266694755</v>
      </c>
      <c r="H313" s="2">
        <f t="shared" si="1"/>
        <v>0.9706677902</v>
      </c>
      <c r="I313" s="2" t="b">
        <f>IF(OR(dss_report!$D313=TRUE, H313&lt;0.3), TRUE, FALSE)</f>
        <v>0</v>
      </c>
      <c r="J313" s="2" t="b">
        <f>IF( OR( AND(dss_report!$B313&gt;31, dss_report!$C313&lt;38), H313&lt;0.25 ), TRUE, FALSE)</f>
        <v>0</v>
      </c>
      <c r="K313" s="2">
        <f t="shared" si="2"/>
        <v>0</v>
      </c>
      <c r="L313" s="2">
        <f t="shared" si="3"/>
        <v>0</v>
      </c>
      <c r="M313" s="2">
        <f t="shared" si="4"/>
        <v>0</v>
      </c>
      <c r="N313" s="2">
        <f t="shared" si="5"/>
        <v>1</v>
      </c>
      <c r="O313" s="2">
        <f t="shared" si="6"/>
        <v>0</v>
      </c>
      <c r="P313" s="2">
        <f t="shared" si="7"/>
        <v>0</v>
      </c>
    </row>
    <row r="314" ht="14.25" customHeight="1">
      <c r="A314" s="4">
        <v>45447.25</v>
      </c>
      <c r="B314" s="1">
        <v>22.143233640936103</v>
      </c>
      <c r="C314" s="1">
        <v>42.694308119941226</v>
      </c>
      <c r="D314" s="1" t="b">
        <f>IF(AND(dss_report!$B314&gt;30, dss_report!$C314&lt;40), TRUE, FALSE)</f>
        <v>0</v>
      </c>
      <c r="E314" s="1"/>
      <c r="F314" s="2">
        <f>LET(
 _xlpm.t,dss_report!$B314, _xlpm.lo,18, _xlpm.hi,28,
 IF(AND(_xlpm.t&gt;=_xlpm.lo, _xlpm.t&lt;=_xlpm.hi), 1,
   IF(_xlpm.t&lt;_xlpm.lo, MAX(0, 1 - (_xlpm.lo - _xlpm.t)/(_xlpm.lo*0.5)),
             MAX(0, 1 - (_xlpm.t - _xlpm.hi)/(_xlpm.hi*0.5))
   )
 )
)</f>
        <v>1</v>
      </c>
      <c r="G314" s="2">
        <f>LET(
 _xlpm.h,dss_report!$C314, _xlpm.lo,45, _xlpm.hi,70,
 IF(AND(_xlpm.h&gt;=_xlpm.lo, _xlpm.h&lt;=_xlpm.hi), 1,
   IF(_xlpm.h&lt;_xlpm.lo, MAX(0, 1 - (_xlpm.lo - _xlpm.h)/(_xlpm.lo*0.5)),
             MAX(0, 1 - (_xlpm.h - _xlpm.hi)/(_xlpm.hi*0.5))
   )
 )
)</f>
        <v>0.8975248053</v>
      </c>
      <c r="H314" s="2">
        <f t="shared" si="1"/>
        <v>0.9590099221</v>
      </c>
      <c r="I314" s="2" t="b">
        <f>IF(OR(dss_report!$D314=TRUE, H314&lt;0.3), TRUE, FALSE)</f>
        <v>0</v>
      </c>
      <c r="J314" s="2" t="b">
        <f>IF( OR( AND(dss_report!$B314&gt;31, dss_report!$C314&lt;38), H314&lt;0.25 ), TRUE, FALSE)</f>
        <v>0</v>
      </c>
      <c r="K314" s="2">
        <f t="shared" si="2"/>
        <v>0</v>
      </c>
      <c r="L314" s="2">
        <f t="shared" si="3"/>
        <v>0</v>
      </c>
      <c r="M314" s="2">
        <f t="shared" si="4"/>
        <v>0</v>
      </c>
      <c r="N314" s="2">
        <f t="shared" si="5"/>
        <v>1</v>
      </c>
      <c r="O314" s="2">
        <f t="shared" si="6"/>
        <v>0</v>
      </c>
      <c r="P314" s="2">
        <f t="shared" si="7"/>
        <v>0</v>
      </c>
    </row>
    <row r="315" ht="14.25" customHeight="1">
      <c r="A315" s="4">
        <v>45447.260416666664</v>
      </c>
      <c r="B315" s="1">
        <v>22.060096340320634</v>
      </c>
      <c r="C315" s="1">
        <v>41.282065211109035</v>
      </c>
      <c r="D315" s="1" t="b">
        <f>IF(AND(dss_report!$B315&gt;30, dss_report!$C315&lt;40), TRUE, FALSE)</f>
        <v>0</v>
      </c>
      <c r="E315" s="1"/>
      <c r="F315" s="2">
        <f>LET(
 _xlpm.t,dss_report!$B315, _xlpm.lo,18, _xlpm.hi,28,
 IF(AND(_xlpm.t&gt;=_xlpm.lo, _xlpm.t&lt;=_xlpm.hi), 1,
   IF(_xlpm.t&lt;_xlpm.lo, MAX(0, 1 - (_xlpm.lo - _xlpm.t)/(_xlpm.lo*0.5)),
             MAX(0, 1 - (_xlpm.t - _xlpm.hi)/(_xlpm.hi*0.5))
   )
 )
)</f>
        <v>1</v>
      </c>
      <c r="G315" s="2">
        <f>LET(
 _xlpm.h,dss_report!$C315, _xlpm.lo,45, _xlpm.hi,70,
 IF(AND(_xlpm.h&gt;=_xlpm.lo, _xlpm.h&lt;=_xlpm.hi), 1,
   IF(_xlpm.h&lt;_xlpm.lo, MAX(0, 1 - (_xlpm.lo - _xlpm.h)/(_xlpm.lo*0.5)),
             MAX(0, 1 - (_xlpm.h - _xlpm.hi)/(_xlpm.hi*0.5))
   )
 )
)</f>
        <v>0.8347584538</v>
      </c>
      <c r="H315" s="2">
        <f t="shared" si="1"/>
        <v>0.9339033815</v>
      </c>
      <c r="I315" s="2" t="b">
        <f>IF(OR(dss_report!$D315=TRUE, H315&lt;0.3), TRUE, FALSE)</f>
        <v>0</v>
      </c>
      <c r="J315" s="2" t="b">
        <f>IF( OR( AND(dss_report!$B315&gt;31, dss_report!$C315&lt;38), H315&lt;0.25 ), TRUE, FALSE)</f>
        <v>0</v>
      </c>
      <c r="K315" s="2">
        <f t="shared" si="2"/>
        <v>0</v>
      </c>
      <c r="L315" s="2">
        <f t="shared" si="3"/>
        <v>0</v>
      </c>
      <c r="M315" s="2">
        <f t="shared" si="4"/>
        <v>0</v>
      </c>
      <c r="N315" s="2">
        <f t="shared" si="5"/>
        <v>1</v>
      </c>
      <c r="O315" s="2">
        <f t="shared" si="6"/>
        <v>0</v>
      </c>
      <c r="P315" s="2">
        <f t="shared" si="7"/>
        <v>0</v>
      </c>
    </row>
    <row r="316" ht="14.25" customHeight="1">
      <c r="A316" s="4">
        <v>45447.270833333336</v>
      </c>
      <c r="B316" s="1">
        <v>22.73908049021433</v>
      </c>
      <c r="C316" s="1">
        <v>41.79089791890667</v>
      </c>
      <c r="D316" s="1" t="b">
        <f>IF(AND(dss_report!$B316&gt;30, dss_report!$C316&lt;40), TRUE, FALSE)</f>
        <v>0</v>
      </c>
      <c r="E316" s="1"/>
      <c r="F316" s="2">
        <f>LET(
 _xlpm.t,dss_report!$B316, _xlpm.lo,18, _xlpm.hi,28,
 IF(AND(_xlpm.t&gt;=_xlpm.lo, _xlpm.t&lt;=_xlpm.hi), 1,
   IF(_xlpm.t&lt;_xlpm.lo, MAX(0, 1 - (_xlpm.lo - _xlpm.t)/(_xlpm.lo*0.5)),
             MAX(0, 1 - (_xlpm.t - _xlpm.hi)/(_xlpm.hi*0.5))
   )
 )
)</f>
        <v>1</v>
      </c>
      <c r="G316" s="2">
        <f>LET(
 _xlpm.h,dss_report!$C316, _xlpm.lo,45, _xlpm.hi,70,
 IF(AND(_xlpm.h&gt;=_xlpm.lo, _xlpm.h&lt;=_xlpm.hi), 1,
   IF(_xlpm.h&lt;_xlpm.lo, MAX(0, 1 - (_xlpm.lo - _xlpm.h)/(_xlpm.lo*0.5)),
             MAX(0, 1 - (_xlpm.h - _xlpm.hi)/(_xlpm.hi*0.5))
   )
 )
)</f>
        <v>0.8573732408</v>
      </c>
      <c r="H316" s="2">
        <f t="shared" si="1"/>
        <v>0.9429492963</v>
      </c>
      <c r="I316" s="2" t="b">
        <f>IF(OR(dss_report!$D316=TRUE, H316&lt;0.3), TRUE, FALSE)</f>
        <v>0</v>
      </c>
      <c r="J316" s="2" t="b">
        <f>IF( OR( AND(dss_report!$B316&gt;31, dss_report!$C316&lt;38), H316&lt;0.25 ), TRUE, FALSE)</f>
        <v>0</v>
      </c>
      <c r="K316" s="2">
        <f t="shared" si="2"/>
        <v>0</v>
      </c>
      <c r="L316" s="2">
        <f t="shared" si="3"/>
        <v>0</v>
      </c>
      <c r="M316" s="2">
        <f t="shared" si="4"/>
        <v>0</v>
      </c>
      <c r="N316" s="2">
        <f t="shared" si="5"/>
        <v>1</v>
      </c>
      <c r="O316" s="2">
        <f t="shared" si="6"/>
        <v>0</v>
      </c>
      <c r="P316" s="2">
        <f t="shared" si="7"/>
        <v>0</v>
      </c>
    </row>
    <row r="317" ht="14.25" customHeight="1">
      <c r="A317" s="4">
        <v>45447.28125</v>
      </c>
      <c r="B317" s="1">
        <v>22.834976173024764</v>
      </c>
      <c r="C317" s="1">
        <v>45.33829652506424</v>
      </c>
      <c r="D317" s="1" t="b">
        <f>IF(AND(dss_report!$B317&gt;30, dss_report!$C317&lt;40), TRUE, FALSE)</f>
        <v>0</v>
      </c>
      <c r="E317" s="1"/>
      <c r="F317" s="2">
        <f>LET(
 _xlpm.t,dss_report!$B317, _xlpm.lo,18, _xlpm.hi,28,
 IF(AND(_xlpm.t&gt;=_xlpm.lo, _xlpm.t&lt;=_xlpm.hi), 1,
   IF(_xlpm.t&lt;_xlpm.lo, MAX(0, 1 - (_xlpm.lo - _xlpm.t)/(_xlpm.lo*0.5)),
             MAX(0, 1 - (_xlpm.t - _xlpm.hi)/(_xlpm.hi*0.5))
   )
 )
)</f>
        <v>1</v>
      </c>
      <c r="G317" s="2">
        <f>LET(
 _xlpm.h,dss_report!$C317, _xlpm.lo,45, _xlpm.hi,70,
 IF(AND(_xlpm.h&gt;=_xlpm.lo, _xlpm.h&lt;=_xlpm.hi), 1,
   IF(_xlpm.h&lt;_xlpm.lo, MAX(0, 1 - (_xlpm.lo - _xlpm.h)/(_xlpm.lo*0.5)),
             MAX(0, 1 - (_xlpm.h - _xlpm.hi)/(_xlpm.hi*0.5))
   )
 )
)</f>
        <v>1</v>
      </c>
      <c r="H317" s="2">
        <f t="shared" si="1"/>
        <v>1</v>
      </c>
      <c r="I317" s="2" t="b">
        <f>IF(OR(dss_report!$D317=TRUE, H317&lt;0.3), TRUE, FALSE)</f>
        <v>0</v>
      </c>
      <c r="J317" s="2" t="b">
        <f>IF( OR( AND(dss_report!$B317&gt;31, dss_report!$C317&lt;38), H317&lt;0.25 ), TRUE, FALSE)</f>
        <v>0</v>
      </c>
      <c r="K317" s="2">
        <f t="shared" si="2"/>
        <v>0</v>
      </c>
      <c r="L317" s="2">
        <f t="shared" si="3"/>
        <v>0</v>
      </c>
      <c r="M317" s="2">
        <f t="shared" si="4"/>
        <v>0</v>
      </c>
      <c r="N317" s="2">
        <f t="shared" si="5"/>
        <v>1</v>
      </c>
      <c r="O317" s="2">
        <f t="shared" si="6"/>
        <v>0</v>
      </c>
      <c r="P317" s="2">
        <f t="shared" si="7"/>
        <v>0</v>
      </c>
    </row>
    <row r="318" ht="14.25" customHeight="1">
      <c r="A318" s="4">
        <v>45447.291666666664</v>
      </c>
      <c r="B318" s="1">
        <v>22.56984490761632</v>
      </c>
      <c r="C318" s="1">
        <v>45.32148309836898</v>
      </c>
      <c r="D318" s="1" t="b">
        <f>IF(AND(dss_report!$B318&gt;30, dss_report!$C318&lt;40), TRUE, FALSE)</f>
        <v>0</v>
      </c>
      <c r="E318" s="1"/>
      <c r="F318" s="2">
        <f>LET(
 _xlpm.t,dss_report!$B318, _xlpm.lo,18, _xlpm.hi,28,
 IF(AND(_xlpm.t&gt;=_xlpm.lo, _xlpm.t&lt;=_xlpm.hi), 1,
   IF(_xlpm.t&lt;_xlpm.lo, MAX(0, 1 - (_xlpm.lo - _xlpm.t)/(_xlpm.lo*0.5)),
             MAX(0, 1 - (_xlpm.t - _xlpm.hi)/(_xlpm.hi*0.5))
   )
 )
)</f>
        <v>1</v>
      </c>
      <c r="G318" s="2">
        <f>LET(
 _xlpm.h,dss_report!$C318, _xlpm.lo,45, _xlpm.hi,70,
 IF(AND(_xlpm.h&gt;=_xlpm.lo, _xlpm.h&lt;=_xlpm.hi), 1,
   IF(_xlpm.h&lt;_xlpm.lo, MAX(0, 1 - (_xlpm.lo - _xlpm.h)/(_xlpm.lo*0.5)),
             MAX(0, 1 - (_xlpm.h - _xlpm.hi)/(_xlpm.hi*0.5))
   )
 )
)</f>
        <v>1</v>
      </c>
      <c r="H318" s="2">
        <f t="shared" si="1"/>
        <v>1</v>
      </c>
      <c r="I318" s="2" t="b">
        <f>IF(OR(dss_report!$D318=TRUE, H318&lt;0.3), TRUE, FALSE)</f>
        <v>0</v>
      </c>
      <c r="J318" s="2" t="b">
        <f>IF( OR( AND(dss_report!$B318&gt;31, dss_report!$C318&lt;38), H318&lt;0.25 ), TRUE, FALSE)</f>
        <v>0</v>
      </c>
      <c r="K318" s="2">
        <f t="shared" si="2"/>
        <v>0</v>
      </c>
      <c r="L318" s="2">
        <f t="shared" si="3"/>
        <v>0</v>
      </c>
      <c r="M318" s="2">
        <f t="shared" si="4"/>
        <v>0</v>
      </c>
      <c r="N318" s="2">
        <f t="shared" si="5"/>
        <v>1</v>
      </c>
      <c r="O318" s="2">
        <f t="shared" si="6"/>
        <v>0</v>
      </c>
      <c r="P318" s="2">
        <f t="shared" si="7"/>
        <v>0</v>
      </c>
    </row>
    <row r="319" ht="14.25" customHeight="1">
      <c r="A319" s="4">
        <v>45447.302083333336</v>
      </c>
      <c r="B319" s="1">
        <v>24.025120650206464</v>
      </c>
      <c r="C319" s="1">
        <v>43.480552028825194</v>
      </c>
      <c r="D319" s="1" t="b">
        <f>IF(AND(dss_report!$B319&gt;30, dss_report!$C319&lt;40), TRUE, FALSE)</f>
        <v>0</v>
      </c>
      <c r="E319" s="1"/>
      <c r="F319" s="2">
        <f>LET(
 _xlpm.t,dss_report!$B319, _xlpm.lo,18, _xlpm.hi,28,
 IF(AND(_xlpm.t&gt;=_xlpm.lo, _xlpm.t&lt;=_xlpm.hi), 1,
   IF(_xlpm.t&lt;_xlpm.lo, MAX(0, 1 - (_xlpm.lo - _xlpm.t)/(_xlpm.lo*0.5)),
             MAX(0, 1 - (_xlpm.t - _xlpm.hi)/(_xlpm.hi*0.5))
   )
 )
)</f>
        <v>1</v>
      </c>
      <c r="G319" s="2">
        <f>LET(
 _xlpm.h,dss_report!$C319, _xlpm.lo,45, _xlpm.hi,70,
 IF(AND(_xlpm.h&gt;=_xlpm.lo, _xlpm.h&lt;=_xlpm.hi), 1,
   IF(_xlpm.h&lt;_xlpm.lo, MAX(0, 1 - (_xlpm.lo - _xlpm.h)/(_xlpm.lo*0.5)),
             MAX(0, 1 - (_xlpm.h - _xlpm.hi)/(_xlpm.hi*0.5))
   )
 )
)</f>
        <v>0.9324689791</v>
      </c>
      <c r="H319" s="2">
        <f t="shared" si="1"/>
        <v>0.9729875916</v>
      </c>
      <c r="I319" s="2" t="b">
        <f>IF(OR(dss_report!$D319=TRUE, H319&lt;0.3), TRUE, FALSE)</f>
        <v>0</v>
      </c>
      <c r="J319" s="2" t="b">
        <f>IF( OR( AND(dss_report!$B319&gt;31, dss_report!$C319&lt;38), H319&lt;0.25 ), TRUE, FALSE)</f>
        <v>0</v>
      </c>
      <c r="K319" s="2">
        <f t="shared" si="2"/>
        <v>0</v>
      </c>
      <c r="L319" s="2">
        <f t="shared" si="3"/>
        <v>0</v>
      </c>
      <c r="M319" s="2">
        <f t="shared" si="4"/>
        <v>0</v>
      </c>
      <c r="N319" s="2">
        <f t="shared" si="5"/>
        <v>1</v>
      </c>
      <c r="O319" s="2">
        <f t="shared" si="6"/>
        <v>0</v>
      </c>
      <c r="P319" s="2">
        <f t="shared" si="7"/>
        <v>0</v>
      </c>
    </row>
    <row r="320" ht="14.25" customHeight="1">
      <c r="A320" s="4">
        <v>45447.3125</v>
      </c>
      <c r="B320" s="1">
        <v>21.98316499949276</v>
      </c>
      <c r="C320" s="1">
        <v>40.73359402483211</v>
      </c>
      <c r="D320" s="1" t="b">
        <f>IF(AND(dss_report!$B320&gt;30, dss_report!$C320&lt;40), TRUE, FALSE)</f>
        <v>0</v>
      </c>
      <c r="E320" s="1"/>
      <c r="F320" s="2">
        <f>LET(
 _xlpm.t,dss_report!$B320, _xlpm.lo,18, _xlpm.hi,28,
 IF(AND(_xlpm.t&gt;=_xlpm.lo, _xlpm.t&lt;=_xlpm.hi), 1,
   IF(_xlpm.t&lt;_xlpm.lo, MAX(0, 1 - (_xlpm.lo - _xlpm.t)/(_xlpm.lo*0.5)),
             MAX(0, 1 - (_xlpm.t - _xlpm.hi)/(_xlpm.hi*0.5))
   )
 )
)</f>
        <v>1</v>
      </c>
      <c r="G320" s="2">
        <f>LET(
 _xlpm.h,dss_report!$C320, _xlpm.lo,45, _xlpm.hi,70,
 IF(AND(_xlpm.h&gt;=_xlpm.lo, _xlpm.h&lt;=_xlpm.hi), 1,
   IF(_xlpm.h&lt;_xlpm.lo, MAX(0, 1 - (_xlpm.lo - _xlpm.h)/(_xlpm.lo*0.5)),
             MAX(0, 1 - (_xlpm.h - _xlpm.hi)/(_xlpm.hi*0.5))
   )
 )
)</f>
        <v>0.8103819567</v>
      </c>
      <c r="H320" s="2">
        <f t="shared" si="1"/>
        <v>0.9241527827</v>
      </c>
      <c r="I320" s="2" t="b">
        <f>IF(OR(dss_report!$D320=TRUE, H320&lt;0.3), TRUE, FALSE)</f>
        <v>0</v>
      </c>
      <c r="J320" s="2" t="b">
        <f>IF( OR( AND(dss_report!$B320&gt;31, dss_report!$C320&lt;38), H320&lt;0.25 ), TRUE, FALSE)</f>
        <v>0</v>
      </c>
      <c r="K320" s="2">
        <f t="shared" si="2"/>
        <v>0</v>
      </c>
      <c r="L320" s="2">
        <f t="shared" si="3"/>
        <v>0</v>
      </c>
      <c r="M320" s="2">
        <f t="shared" si="4"/>
        <v>0</v>
      </c>
      <c r="N320" s="2">
        <f t="shared" si="5"/>
        <v>1</v>
      </c>
      <c r="O320" s="2">
        <f t="shared" si="6"/>
        <v>0</v>
      </c>
      <c r="P320" s="2">
        <f t="shared" si="7"/>
        <v>0</v>
      </c>
    </row>
    <row r="321" ht="14.25" customHeight="1">
      <c r="A321" s="4">
        <v>45447.322916666664</v>
      </c>
      <c r="B321" s="1">
        <v>23.043946382036506</v>
      </c>
      <c r="C321" s="1">
        <v>44.75462686187403</v>
      </c>
      <c r="D321" s="1" t="b">
        <f>IF(AND(dss_report!$B321&gt;30, dss_report!$C321&lt;40), TRUE, FALSE)</f>
        <v>0</v>
      </c>
      <c r="E321" s="1"/>
      <c r="F321" s="2">
        <f>LET(
 _xlpm.t,dss_report!$B321, _xlpm.lo,18, _xlpm.hi,28,
 IF(AND(_xlpm.t&gt;=_xlpm.lo, _xlpm.t&lt;=_xlpm.hi), 1,
   IF(_xlpm.t&lt;_xlpm.lo, MAX(0, 1 - (_xlpm.lo - _xlpm.t)/(_xlpm.lo*0.5)),
             MAX(0, 1 - (_xlpm.t - _xlpm.hi)/(_xlpm.hi*0.5))
   )
 )
)</f>
        <v>1</v>
      </c>
      <c r="G321" s="2">
        <f>LET(
 _xlpm.h,dss_report!$C321, _xlpm.lo,45, _xlpm.hi,70,
 IF(AND(_xlpm.h&gt;=_xlpm.lo, _xlpm.h&lt;=_xlpm.hi), 1,
   IF(_xlpm.h&lt;_xlpm.lo, MAX(0, 1 - (_xlpm.lo - _xlpm.h)/(_xlpm.lo*0.5)),
             MAX(0, 1 - (_xlpm.h - _xlpm.hi)/(_xlpm.hi*0.5))
   )
 )
)</f>
        <v>0.9890945272</v>
      </c>
      <c r="H321" s="2">
        <f t="shared" si="1"/>
        <v>0.9956378109</v>
      </c>
      <c r="I321" s="2" t="b">
        <f>IF(OR(dss_report!$D321=TRUE, H321&lt;0.3), TRUE, FALSE)</f>
        <v>0</v>
      </c>
      <c r="J321" s="2" t="b">
        <f>IF( OR( AND(dss_report!$B321&gt;31, dss_report!$C321&lt;38), H321&lt;0.25 ), TRUE, FALSE)</f>
        <v>0</v>
      </c>
      <c r="K321" s="2">
        <f t="shared" si="2"/>
        <v>0</v>
      </c>
      <c r="L321" s="2">
        <f t="shared" si="3"/>
        <v>0</v>
      </c>
      <c r="M321" s="2">
        <f t="shared" si="4"/>
        <v>0</v>
      </c>
      <c r="N321" s="2">
        <f t="shared" si="5"/>
        <v>1</v>
      </c>
      <c r="O321" s="2">
        <f t="shared" si="6"/>
        <v>0</v>
      </c>
      <c r="P321" s="2">
        <f t="shared" si="7"/>
        <v>0</v>
      </c>
    </row>
    <row r="322" ht="14.25" customHeight="1">
      <c r="A322" s="4">
        <v>45447.333333333336</v>
      </c>
      <c r="B322" s="1">
        <v>25.536634091476227</v>
      </c>
      <c r="C322" s="1">
        <v>44.22370152197442</v>
      </c>
      <c r="D322" s="1" t="b">
        <f>IF(AND(dss_report!$B322&gt;30, dss_report!$C322&lt;40), TRUE, FALSE)</f>
        <v>0</v>
      </c>
      <c r="E322" s="1"/>
      <c r="F322" s="2">
        <f>LET(
 _xlpm.t,dss_report!$B322, _xlpm.lo,18, _xlpm.hi,28,
 IF(AND(_xlpm.t&gt;=_xlpm.lo, _xlpm.t&lt;=_xlpm.hi), 1,
   IF(_xlpm.t&lt;_xlpm.lo, MAX(0, 1 - (_xlpm.lo - _xlpm.t)/(_xlpm.lo*0.5)),
             MAX(0, 1 - (_xlpm.t - _xlpm.hi)/(_xlpm.hi*0.5))
   )
 )
)</f>
        <v>1</v>
      </c>
      <c r="G322" s="2">
        <f>LET(
 _xlpm.h,dss_report!$C322, _xlpm.lo,45, _xlpm.hi,70,
 IF(AND(_xlpm.h&gt;=_xlpm.lo, _xlpm.h&lt;=_xlpm.hi), 1,
   IF(_xlpm.h&lt;_xlpm.lo, MAX(0, 1 - (_xlpm.lo - _xlpm.h)/(_xlpm.lo*0.5)),
             MAX(0, 1 - (_xlpm.h - _xlpm.hi)/(_xlpm.hi*0.5))
   )
 )
)</f>
        <v>0.9654978454</v>
      </c>
      <c r="H322" s="2">
        <f t="shared" si="1"/>
        <v>0.9861991382</v>
      </c>
      <c r="I322" s="2" t="b">
        <f>IF(OR(dss_report!$D322=TRUE, H322&lt;0.3), TRUE, FALSE)</f>
        <v>0</v>
      </c>
      <c r="J322" s="2" t="b">
        <f>IF( OR( AND(dss_report!$B322&gt;31, dss_report!$C322&lt;38), H322&lt;0.25 ), TRUE, FALSE)</f>
        <v>0</v>
      </c>
      <c r="K322" s="2">
        <f t="shared" si="2"/>
        <v>0</v>
      </c>
      <c r="L322" s="2">
        <f t="shared" si="3"/>
        <v>0</v>
      </c>
      <c r="M322" s="2">
        <f t="shared" si="4"/>
        <v>0</v>
      </c>
      <c r="N322" s="2">
        <f t="shared" si="5"/>
        <v>1</v>
      </c>
      <c r="O322" s="2">
        <f t="shared" si="6"/>
        <v>0</v>
      </c>
      <c r="P322" s="2">
        <f t="shared" si="7"/>
        <v>0</v>
      </c>
    </row>
    <row r="323" ht="14.25" customHeight="1">
      <c r="A323" s="4">
        <v>45447.34375</v>
      </c>
      <c r="B323" s="1">
        <v>25.009676499540817</v>
      </c>
      <c r="C323" s="1">
        <v>44.310153783830565</v>
      </c>
      <c r="D323" s="1" t="b">
        <f>IF(AND(dss_report!$B323&gt;30, dss_report!$C323&lt;40), TRUE, FALSE)</f>
        <v>0</v>
      </c>
      <c r="E323" s="1"/>
      <c r="F323" s="2">
        <f>LET(
 _xlpm.t,dss_report!$B323, _xlpm.lo,18, _xlpm.hi,28,
 IF(AND(_xlpm.t&gt;=_xlpm.lo, _xlpm.t&lt;=_xlpm.hi), 1,
   IF(_xlpm.t&lt;_xlpm.lo, MAX(0, 1 - (_xlpm.lo - _xlpm.t)/(_xlpm.lo*0.5)),
             MAX(0, 1 - (_xlpm.t - _xlpm.hi)/(_xlpm.hi*0.5))
   )
 )
)</f>
        <v>1</v>
      </c>
      <c r="G323" s="2">
        <f>LET(
 _xlpm.h,dss_report!$C323, _xlpm.lo,45, _xlpm.hi,70,
 IF(AND(_xlpm.h&gt;=_xlpm.lo, _xlpm.h&lt;=_xlpm.hi), 1,
   IF(_xlpm.h&lt;_xlpm.lo, MAX(0, 1 - (_xlpm.lo - _xlpm.h)/(_xlpm.lo*0.5)),
             MAX(0, 1 - (_xlpm.h - _xlpm.hi)/(_xlpm.hi*0.5))
   )
 )
)</f>
        <v>0.9693401682</v>
      </c>
      <c r="H323" s="2">
        <f t="shared" si="1"/>
        <v>0.9877360673</v>
      </c>
      <c r="I323" s="2" t="b">
        <f>IF(OR(dss_report!$D323=TRUE, H323&lt;0.3), TRUE, FALSE)</f>
        <v>0</v>
      </c>
      <c r="J323" s="2" t="b">
        <f>IF( OR( AND(dss_report!$B323&gt;31, dss_report!$C323&lt;38), H323&lt;0.25 ), TRUE, FALSE)</f>
        <v>0</v>
      </c>
      <c r="K323" s="2">
        <f t="shared" si="2"/>
        <v>0</v>
      </c>
      <c r="L323" s="2">
        <f t="shared" si="3"/>
        <v>0</v>
      </c>
      <c r="M323" s="2">
        <f t="shared" si="4"/>
        <v>0</v>
      </c>
      <c r="N323" s="2">
        <f t="shared" si="5"/>
        <v>1</v>
      </c>
      <c r="O323" s="2">
        <f t="shared" si="6"/>
        <v>0</v>
      </c>
      <c r="P323" s="2">
        <f t="shared" si="7"/>
        <v>0</v>
      </c>
    </row>
    <row r="324" ht="14.25" customHeight="1">
      <c r="A324" s="4">
        <v>45447.354166666664</v>
      </c>
      <c r="B324" s="1">
        <v>24.805987062316582</v>
      </c>
      <c r="C324" s="1">
        <v>47.427210339535975</v>
      </c>
      <c r="D324" s="1" t="b">
        <f>IF(AND(dss_report!$B324&gt;30, dss_report!$C324&lt;40), TRUE, FALSE)</f>
        <v>0</v>
      </c>
      <c r="E324" s="1"/>
      <c r="F324" s="2">
        <f>LET(
 _xlpm.t,dss_report!$B324, _xlpm.lo,18, _xlpm.hi,28,
 IF(AND(_xlpm.t&gt;=_xlpm.lo, _xlpm.t&lt;=_xlpm.hi), 1,
   IF(_xlpm.t&lt;_xlpm.lo, MAX(0, 1 - (_xlpm.lo - _xlpm.t)/(_xlpm.lo*0.5)),
             MAX(0, 1 - (_xlpm.t - _xlpm.hi)/(_xlpm.hi*0.5))
   )
 )
)</f>
        <v>1</v>
      </c>
      <c r="G324" s="2">
        <f>LET(
 _xlpm.h,dss_report!$C324, _xlpm.lo,45, _xlpm.hi,70,
 IF(AND(_xlpm.h&gt;=_xlpm.lo, _xlpm.h&lt;=_xlpm.hi), 1,
   IF(_xlpm.h&lt;_xlpm.lo, MAX(0, 1 - (_xlpm.lo - _xlpm.h)/(_xlpm.lo*0.5)),
             MAX(0, 1 - (_xlpm.h - _xlpm.hi)/(_xlpm.hi*0.5))
   )
 )
)</f>
        <v>1</v>
      </c>
      <c r="H324" s="2">
        <f t="shared" si="1"/>
        <v>1</v>
      </c>
      <c r="I324" s="2" t="b">
        <f>IF(OR(dss_report!$D324=TRUE, H324&lt;0.3), TRUE, FALSE)</f>
        <v>0</v>
      </c>
      <c r="J324" s="2" t="b">
        <f>IF( OR( AND(dss_report!$B324&gt;31, dss_report!$C324&lt;38), H324&lt;0.25 ), TRUE, FALSE)</f>
        <v>0</v>
      </c>
      <c r="K324" s="2">
        <f t="shared" si="2"/>
        <v>0</v>
      </c>
      <c r="L324" s="2">
        <f t="shared" si="3"/>
        <v>0</v>
      </c>
      <c r="M324" s="2">
        <f t="shared" si="4"/>
        <v>0</v>
      </c>
      <c r="N324" s="2">
        <f t="shared" si="5"/>
        <v>1</v>
      </c>
      <c r="O324" s="2">
        <f t="shared" si="6"/>
        <v>0</v>
      </c>
      <c r="P324" s="2">
        <f t="shared" si="7"/>
        <v>0</v>
      </c>
    </row>
    <row r="325" ht="14.25" customHeight="1">
      <c r="A325" s="4">
        <v>45447.364583333336</v>
      </c>
      <c r="B325" s="1">
        <v>24.916250405973436</v>
      </c>
      <c r="C325" s="1">
        <v>45.776664488038435</v>
      </c>
      <c r="D325" s="1" t="b">
        <f>IF(AND(dss_report!$B325&gt;30, dss_report!$C325&lt;40), TRUE, FALSE)</f>
        <v>0</v>
      </c>
      <c r="E325" s="1"/>
      <c r="F325" s="2">
        <f>LET(
 _xlpm.t,dss_report!$B325, _xlpm.lo,18, _xlpm.hi,28,
 IF(AND(_xlpm.t&gt;=_xlpm.lo, _xlpm.t&lt;=_xlpm.hi), 1,
   IF(_xlpm.t&lt;_xlpm.lo, MAX(0, 1 - (_xlpm.lo - _xlpm.t)/(_xlpm.lo*0.5)),
             MAX(0, 1 - (_xlpm.t - _xlpm.hi)/(_xlpm.hi*0.5))
   )
 )
)</f>
        <v>1</v>
      </c>
      <c r="G325" s="2">
        <f>LET(
 _xlpm.h,dss_report!$C325, _xlpm.lo,45, _xlpm.hi,70,
 IF(AND(_xlpm.h&gt;=_xlpm.lo, _xlpm.h&lt;=_xlpm.hi), 1,
   IF(_xlpm.h&lt;_xlpm.lo, MAX(0, 1 - (_xlpm.lo - _xlpm.h)/(_xlpm.lo*0.5)),
             MAX(0, 1 - (_xlpm.h - _xlpm.hi)/(_xlpm.hi*0.5))
   )
 )
)</f>
        <v>1</v>
      </c>
      <c r="H325" s="2">
        <f t="shared" si="1"/>
        <v>1</v>
      </c>
      <c r="I325" s="2" t="b">
        <f>IF(OR(dss_report!$D325=TRUE, H325&lt;0.3), TRUE, FALSE)</f>
        <v>0</v>
      </c>
      <c r="J325" s="2" t="b">
        <f>IF( OR( AND(dss_report!$B325&gt;31, dss_report!$C325&lt;38), H325&lt;0.25 ), TRUE, FALSE)</f>
        <v>0</v>
      </c>
      <c r="K325" s="2">
        <f t="shared" si="2"/>
        <v>0</v>
      </c>
      <c r="L325" s="2">
        <f t="shared" si="3"/>
        <v>0</v>
      </c>
      <c r="M325" s="2">
        <f t="shared" si="4"/>
        <v>0</v>
      </c>
      <c r="N325" s="2">
        <f t="shared" si="5"/>
        <v>1</v>
      </c>
      <c r="O325" s="2">
        <f t="shared" si="6"/>
        <v>0</v>
      </c>
      <c r="P325" s="2">
        <f t="shared" si="7"/>
        <v>0</v>
      </c>
    </row>
    <row r="326" ht="14.25" customHeight="1">
      <c r="A326" s="4">
        <v>45447.375</v>
      </c>
      <c r="B326" s="1">
        <v>25.99103740396172</v>
      </c>
      <c r="C326" s="1">
        <v>42.36086853386047</v>
      </c>
      <c r="D326" s="1" t="b">
        <f>IF(AND(dss_report!$B326&gt;30, dss_report!$C326&lt;40), TRUE, FALSE)</f>
        <v>0</v>
      </c>
      <c r="E326" s="1"/>
      <c r="F326" s="2">
        <f>LET(
 _xlpm.t,dss_report!$B326, _xlpm.lo,18, _xlpm.hi,28,
 IF(AND(_xlpm.t&gt;=_xlpm.lo, _xlpm.t&lt;=_xlpm.hi), 1,
   IF(_xlpm.t&lt;_xlpm.lo, MAX(0, 1 - (_xlpm.lo - _xlpm.t)/(_xlpm.lo*0.5)),
             MAX(0, 1 - (_xlpm.t - _xlpm.hi)/(_xlpm.hi*0.5))
   )
 )
)</f>
        <v>1</v>
      </c>
      <c r="G326" s="2">
        <f>LET(
 _xlpm.h,dss_report!$C326, _xlpm.lo,45, _xlpm.hi,70,
 IF(AND(_xlpm.h&gt;=_xlpm.lo, _xlpm.h&lt;=_xlpm.hi), 1,
   IF(_xlpm.h&lt;_xlpm.lo, MAX(0, 1 - (_xlpm.lo - _xlpm.h)/(_xlpm.lo*0.5)),
             MAX(0, 1 - (_xlpm.h - _xlpm.hi)/(_xlpm.hi*0.5))
   )
 )
)</f>
        <v>0.8827052682</v>
      </c>
      <c r="H326" s="2">
        <f t="shared" si="1"/>
        <v>0.9530821073</v>
      </c>
      <c r="I326" s="2" t="b">
        <f>IF(OR(dss_report!$D326=TRUE, H326&lt;0.3), TRUE, FALSE)</f>
        <v>0</v>
      </c>
      <c r="J326" s="2" t="b">
        <f>IF( OR( AND(dss_report!$B326&gt;31, dss_report!$C326&lt;38), H326&lt;0.25 ), TRUE, FALSE)</f>
        <v>0</v>
      </c>
      <c r="K326" s="2">
        <f t="shared" si="2"/>
        <v>0</v>
      </c>
      <c r="L326" s="2">
        <f t="shared" si="3"/>
        <v>0</v>
      </c>
      <c r="M326" s="2">
        <f t="shared" si="4"/>
        <v>0</v>
      </c>
      <c r="N326" s="2">
        <f t="shared" si="5"/>
        <v>1</v>
      </c>
      <c r="O326" s="2">
        <f t="shared" si="6"/>
        <v>0</v>
      </c>
      <c r="P326" s="2">
        <f t="shared" si="7"/>
        <v>0</v>
      </c>
    </row>
    <row r="327" ht="14.25" customHeight="1">
      <c r="A327" s="4">
        <v>45447.385416666664</v>
      </c>
      <c r="B327" s="1">
        <v>25.280370057143376</v>
      </c>
      <c r="C327" s="1">
        <v>42.56021643101197</v>
      </c>
      <c r="D327" s="1" t="b">
        <f>IF(AND(dss_report!$B327&gt;30, dss_report!$C327&lt;40), TRUE, FALSE)</f>
        <v>0</v>
      </c>
      <c r="E327" s="1"/>
      <c r="F327" s="2">
        <f>LET(
 _xlpm.t,dss_report!$B327, _xlpm.lo,18, _xlpm.hi,28,
 IF(AND(_xlpm.t&gt;=_xlpm.lo, _xlpm.t&lt;=_xlpm.hi), 1,
   IF(_xlpm.t&lt;_xlpm.lo, MAX(0, 1 - (_xlpm.lo - _xlpm.t)/(_xlpm.lo*0.5)),
             MAX(0, 1 - (_xlpm.t - _xlpm.hi)/(_xlpm.hi*0.5))
   )
 )
)</f>
        <v>1</v>
      </c>
      <c r="G327" s="2">
        <f>LET(
 _xlpm.h,dss_report!$C327, _xlpm.lo,45, _xlpm.hi,70,
 IF(AND(_xlpm.h&gt;=_xlpm.lo, _xlpm.h&lt;=_xlpm.hi), 1,
   IF(_xlpm.h&lt;_xlpm.lo, MAX(0, 1 - (_xlpm.lo - _xlpm.h)/(_xlpm.lo*0.5)),
             MAX(0, 1 - (_xlpm.h - _xlpm.hi)/(_xlpm.hi*0.5))
   )
 )
)</f>
        <v>0.8915651747</v>
      </c>
      <c r="H327" s="2">
        <f t="shared" si="1"/>
        <v>0.9566260699</v>
      </c>
      <c r="I327" s="2" t="b">
        <f>IF(OR(dss_report!$D327=TRUE, H327&lt;0.3), TRUE, FALSE)</f>
        <v>0</v>
      </c>
      <c r="J327" s="2" t="b">
        <f>IF( OR( AND(dss_report!$B327&gt;31, dss_report!$C327&lt;38), H327&lt;0.25 ), TRUE, FALSE)</f>
        <v>0</v>
      </c>
      <c r="K327" s="2">
        <f t="shared" si="2"/>
        <v>0</v>
      </c>
      <c r="L327" s="2">
        <f t="shared" si="3"/>
        <v>0</v>
      </c>
      <c r="M327" s="2">
        <f t="shared" si="4"/>
        <v>0</v>
      </c>
      <c r="N327" s="2">
        <f t="shared" si="5"/>
        <v>1</v>
      </c>
      <c r="O327" s="2">
        <f t="shared" si="6"/>
        <v>0</v>
      </c>
      <c r="P327" s="2">
        <f t="shared" si="7"/>
        <v>0</v>
      </c>
    </row>
    <row r="328" ht="14.25" customHeight="1">
      <c r="A328" s="4">
        <v>45447.395833333336</v>
      </c>
      <c r="B328" s="1">
        <v>25.112378089281624</v>
      </c>
      <c r="C328" s="1">
        <v>47.43572859172643</v>
      </c>
      <c r="D328" s="1" t="b">
        <f>IF(AND(dss_report!$B328&gt;30, dss_report!$C328&lt;40), TRUE, FALSE)</f>
        <v>0</v>
      </c>
      <c r="E328" s="1"/>
      <c r="F328" s="2">
        <f>LET(
 _xlpm.t,dss_report!$B328, _xlpm.lo,18, _xlpm.hi,28,
 IF(AND(_xlpm.t&gt;=_xlpm.lo, _xlpm.t&lt;=_xlpm.hi), 1,
   IF(_xlpm.t&lt;_xlpm.lo, MAX(0, 1 - (_xlpm.lo - _xlpm.t)/(_xlpm.lo*0.5)),
             MAX(0, 1 - (_xlpm.t - _xlpm.hi)/(_xlpm.hi*0.5))
   )
 )
)</f>
        <v>1</v>
      </c>
      <c r="G328" s="2">
        <f>LET(
 _xlpm.h,dss_report!$C328, _xlpm.lo,45, _xlpm.hi,70,
 IF(AND(_xlpm.h&gt;=_xlpm.lo, _xlpm.h&lt;=_xlpm.hi), 1,
   IF(_xlpm.h&lt;_xlpm.lo, MAX(0, 1 - (_xlpm.lo - _xlpm.h)/(_xlpm.lo*0.5)),
             MAX(0, 1 - (_xlpm.h - _xlpm.hi)/(_xlpm.hi*0.5))
   )
 )
)</f>
        <v>1</v>
      </c>
      <c r="H328" s="2">
        <f t="shared" si="1"/>
        <v>1</v>
      </c>
      <c r="I328" s="2" t="b">
        <f>IF(OR(dss_report!$D328=TRUE, H328&lt;0.3), TRUE, FALSE)</f>
        <v>0</v>
      </c>
      <c r="J328" s="2" t="b">
        <f>IF( OR( AND(dss_report!$B328&gt;31, dss_report!$C328&lt;38), H328&lt;0.25 ), TRUE, FALSE)</f>
        <v>0</v>
      </c>
      <c r="K328" s="2">
        <f t="shared" si="2"/>
        <v>0</v>
      </c>
      <c r="L328" s="2">
        <f t="shared" si="3"/>
        <v>0</v>
      </c>
      <c r="M328" s="2">
        <f t="shared" si="4"/>
        <v>0</v>
      </c>
      <c r="N328" s="2">
        <f t="shared" si="5"/>
        <v>1</v>
      </c>
      <c r="O328" s="2">
        <f t="shared" si="6"/>
        <v>0</v>
      </c>
      <c r="P328" s="2">
        <f t="shared" si="7"/>
        <v>0</v>
      </c>
    </row>
    <row r="329" ht="14.25" customHeight="1">
      <c r="A329" s="4">
        <v>45447.40625</v>
      </c>
      <c r="B329" s="1">
        <v>24.347967171534425</v>
      </c>
      <c r="C329" s="1">
        <v>45.27717868717374</v>
      </c>
      <c r="D329" s="1" t="b">
        <f>IF(AND(dss_report!$B329&gt;30, dss_report!$C329&lt;40), TRUE, FALSE)</f>
        <v>0</v>
      </c>
      <c r="E329" s="1"/>
      <c r="F329" s="2">
        <f>LET(
 _xlpm.t,dss_report!$B329, _xlpm.lo,18, _xlpm.hi,28,
 IF(AND(_xlpm.t&gt;=_xlpm.lo, _xlpm.t&lt;=_xlpm.hi), 1,
   IF(_xlpm.t&lt;_xlpm.lo, MAX(0, 1 - (_xlpm.lo - _xlpm.t)/(_xlpm.lo*0.5)),
             MAX(0, 1 - (_xlpm.t - _xlpm.hi)/(_xlpm.hi*0.5))
   )
 )
)</f>
        <v>1</v>
      </c>
      <c r="G329" s="2">
        <f>LET(
 _xlpm.h,dss_report!$C329, _xlpm.lo,45, _xlpm.hi,70,
 IF(AND(_xlpm.h&gt;=_xlpm.lo, _xlpm.h&lt;=_xlpm.hi), 1,
   IF(_xlpm.h&lt;_xlpm.lo, MAX(0, 1 - (_xlpm.lo - _xlpm.h)/(_xlpm.lo*0.5)),
             MAX(0, 1 - (_xlpm.h - _xlpm.hi)/(_xlpm.hi*0.5))
   )
 )
)</f>
        <v>1</v>
      </c>
      <c r="H329" s="2">
        <f t="shared" si="1"/>
        <v>1</v>
      </c>
      <c r="I329" s="2" t="b">
        <f>IF(OR(dss_report!$D329=TRUE, H329&lt;0.3), TRUE, FALSE)</f>
        <v>0</v>
      </c>
      <c r="J329" s="2" t="b">
        <f>IF( OR( AND(dss_report!$B329&gt;31, dss_report!$C329&lt;38), H329&lt;0.25 ), TRUE, FALSE)</f>
        <v>0</v>
      </c>
      <c r="K329" s="2">
        <f t="shared" si="2"/>
        <v>0</v>
      </c>
      <c r="L329" s="2">
        <f t="shared" si="3"/>
        <v>0</v>
      </c>
      <c r="M329" s="2">
        <f t="shared" si="4"/>
        <v>0</v>
      </c>
      <c r="N329" s="2">
        <f t="shared" si="5"/>
        <v>1</v>
      </c>
      <c r="O329" s="2">
        <f t="shared" si="6"/>
        <v>0</v>
      </c>
      <c r="P329" s="2">
        <f t="shared" si="7"/>
        <v>0</v>
      </c>
    </row>
    <row r="330" ht="14.25" customHeight="1">
      <c r="A330" s="4">
        <v>45447.416666666664</v>
      </c>
      <c r="B330" s="1">
        <v>25.306643999766827</v>
      </c>
      <c r="C330" s="1">
        <v>46.835598740042684</v>
      </c>
      <c r="D330" s="1" t="b">
        <f>IF(AND(dss_report!$B330&gt;30, dss_report!$C330&lt;40), TRUE, FALSE)</f>
        <v>0</v>
      </c>
      <c r="E330" s="1"/>
      <c r="F330" s="2">
        <f>LET(
 _xlpm.t,dss_report!$B330, _xlpm.lo,18, _xlpm.hi,28,
 IF(AND(_xlpm.t&gt;=_xlpm.lo, _xlpm.t&lt;=_xlpm.hi), 1,
   IF(_xlpm.t&lt;_xlpm.lo, MAX(0, 1 - (_xlpm.lo - _xlpm.t)/(_xlpm.lo*0.5)),
             MAX(0, 1 - (_xlpm.t - _xlpm.hi)/(_xlpm.hi*0.5))
   )
 )
)</f>
        <v>1</v>
      </c>
      <c r="G330" s="2">
        <f>LET(
 _xlpm.h,dss_report!$C330, _xlpm.lo,45, _xlpm.hi,70,
 IF(AND(_xlpm.h&gt;=_xlpm.lo, _xlpm.h&lt;=_xlpm.hi), 1,
   IF(_xlpm.h&lt;_xlpm.lo, MAX(0, 1 - (_xlpm.lo - _xlpm.h)/(_xlpm.lo*0.5)),
             MAX(0, 1 - (_xlpm.h - _xlpm.hi)/(_xlpm.hi*0.5))
   )
 )
)</f>
        <v>1</v>
      </c>
      <c r="H330" s="2">
        <f t="shared" si="1"/>
        <v>1</v>
      </c>
      <c r="I330" s="2" t="b">
        <f>IF(OR(dss_report!$D330=TRUE, H330&lt;0.3), TRUE, FALSE)</f>
        <v>0</v>
      </c>
      <c r="J330" s="2" t="b">
        <f>IF( OR( AND(dss_report!$B330&gt;31, dss_report!$C330&lt;38), H330&lt;0.25 ), TRUE, FALSE)</f>
        <v>0</v>
      </c>
      <c r="K330" s="2">
        <f t="shared" si="2"/>
        <v>0</v>
      </c>
      <c r="L330" s="2">
        <f t="shared" si="3"/>
        <v>0</v>
      </c>
      <c r="M330" s="2">
        <f t="shared" si="4"/>
        <v>0</v>
      </c>
      <c r="N330" s="2">
        <f t="shared" si="5"/>
        <v>1</v>
      </c>
      <c r="O330" s="2">
        <f t="shared" si="6"/>
        <v>0</v>
      </c>
      <c r="P330" s="2">
        <f t="shared" si="7"/>
        <v>0</v>
      </c>
    </row>
    <row r="331" ht="14.25" customHeight="1">
      <c r="A331" s="4">
        <v>45447.427083333336</v>
      </c>
      <c r="B331" s="1">
        <v>24.991518688970967</v>
      </c>
      <c r="C331" s="1">
        <v>45.04931878650644</v>
      </c>
      <c r="D331" s="1" t="b">
        <f>IF(AND(dss_report!$B331&gt;30, dss_report!$C331&lt;40), TRUE, FALSE)</f>
        <v>0</v>
      </c>
      <c r="E331" s="1"/>
      <c r="F331" s="2">
        <f>LET(
 _xlpm.t,dss_report!$B331, _xlpm.lo,18, _xlpm.hi,28,
 IF(AND(_xlpm.t&gt;=_xlpm.lo, _xlpm.t&lt;=_xlpm.hi), 1,
   IF(_xlpm.t&lt;_xlpm.lo, MAX(0, 1 - (_xlpm.lo - _xlpm.t)/(_xlpm.lo*0.5)),
             MAX(0, 1 - (_xlpm.t - _xlpm.hi)/(_xlpm.hi*0.5))
   )
 )
)</f>
        <v>1</v>
      </c>
      <c r="G331" s="2">
        <f>LET(
 _xlpm.h,dss_report!$C331, _xlpm.lo,45, _xlpm.hi,70,
 IF(AND(_xlpm.h&gt;=_xlpm.lo, _xlpm.h&lt;=_xlpm.hi), 1,
   IF(_xlpm.h&lt;_xlpm.lo, MAX(0, 1 - (_xlpm.lo - _xlpm.h)/(_xlpm.lo*0.5)),
             MAX(0, 1 - (_xlpm.h - _xlpm.hi)/(_xlpm.hi*0.5))
   )
 )
)</f>
        <v>1</v>
      </c>
      <c r="H331" s="2">
        <f t="shared" si="1"/>
        <v>1</v>
      </c>
      <c r="I331" s="2" t="b">
        <f>IF(OR(dss_report!$D331=TRUE, H331&lt;0.3), TRUE, FALSE)</f>
        <v>0</v>
      </c>
      <c r="J331" s="2" t="b">
        <f>IF( OR( AND(dss_report!$B331&gt;31, dss_report!$C331&lt;38), H331&lt;0.25 ), TRUE, FALSE)</f>
        <v>0</v>
      </c>
      <c r="K331" s="2">
        <f t="shared" si="2"/>
        <v>0</v>
      </c>
      <c r="L331" s="2">
        <f t="shared" si="3"/>
        <v>0</v>
      </c>
      <c r="M331" s="2">
        <f t="shared" si="4"/>
        <v>0</v>
      </c>
      <c r="N331" s="2">
        <f t="shared" si="5"/>
        <v>1</v>
      </c>
      <c r="O331" s="2">
        <f t="shared" si="6"/>
        <v>0</v>
      </c>
      <c r="P331" s="2">
        <f t="shared" si="7"/>
        <v>0</v>
      </c>
    </row>
    <row r="332" ht="14.25" customHeight="1">
      <c r="A332" s="4">
        <v>45447.4375</v>
      </c>
      <c r="B332" s="1">
        <v>25.155608897154437</v>
      </c>
      <c r="C332" s="1">
        <v>43.568470709957644</v>
      </c>
      <c r="D332" s="1" t="b">
        <f>IF(AND(dss_report!$B332&gt;30, dss_report!$C332&lt;40), TRUE, FALSE)</f>
        <v>0</v>
      </c>
      <c r="E332" s="1"/>
      <c r="F332" s="2">
        <f>LET(
 _xlpm.t,dss_report!$B332, _xlpm.lo,18, _xlpm.hi,28,
 IF(AND(_xlpm.t&gt;=_xlpm.lo, _xlpm.t&lt;=_xlpm.hi), 1,
   IF(_xlpm.t&lt;_xlpm.lo, MAX(0, 1 - (_xlpm.lo - _xlpm.t)/(_xlpm.lo*0.5)),
             MAX(0, 1 - (_xlpm.t - _xlpm.hi)/(_xlpm.hi*0.5))
   )
 )
)</f>
        <v>1</v>
      </c>
      <c r="G332" s="2">
        <f>LET(
 _xlpm.h,dss_report!$C332, _xlpm.lo,45, _xlpm.hi,70,
 IF(AND(_xlpm.h&gt;=_xlpm.lo, _xlpm.h&lt;=_xlpm.hi), 1,
   IF(_xlpm.h&lt;_xlpm.lo, MAX(0, 1 - (_xlpm.lo - _xlpm.h)/(_xlpm.lo*0.5)),
             MAX(0, 1 - (_xlpm.h - _xlpm.hi)/(_xlpm.hi*0.5))
   )
 )
)</f>
        <v>0.936376476</v>
      </c>
      <c r="H332" s="2">
        <f t="shared" si="1"/>
        <v>0.9745505904</v>
      </c>
      <c r="I332" s="2" t="b">
        <f>IF(OR(dss_report!$D332=TRUE, H332&lt;0.3), TRUE, FALSE)</f>
        <v>0</v>
      </c>
      <c r="J332" s="2" t="b">
        <f>IF( OR( AND(dss_report!$B332&gt;31, dss_report!$C332&lt;38), H332&lt;0.25 ), TRUE, FALSE)</f>
        <v>0</v>
      </c>
      <c r="K332" s="2">
        <f t="shared" si="2"/>
        <v>0</v>
      </c>
      <c r="L332" s="2">
        <f t="shared" si="3"/>
        <v>0</v>
      </c>
      <c r="M332" s="2">
        <f t="shared" si="4"/>
        <v>0</v>
      </c>
      <c r="N332" s="2">
        <f t="shared" si="5"/>
        <v>1</v>
      </c>
      <c r="O332" s="2">
        <f t="shared" si="6"/>
        <v>0</v>
      </c>
      <c r="P332" s="2">
        <f t="shared" si="7"/>
        <v>0</v>
      </c>
    </row>
    <row r="333" ht="14.25" customHeight="1">
      <c r="A333" s="4">
        <v>45447.447916666664</v>
      </c>
      <c r="B333" s="1">
        <v>25.292101596539794</v>
      </c>
      <c r="C333" s="1">
        <v>46.325685198176025</v>
      </c>
      <c r="D333" s="1" t="b">
        <f>IF(AND(dss_report!$B333&gt;30, dss_report!$C333&lt;40), TRUE, FALSE)</f>
        <v>0</v>
      </c>
      <c r="E333" s="1"/>
      <c r="F333" s="2">
        <f>LET(
 _xlpm.t,dss_report!$B333, _xlpm.lo,18, _xlpm.hi,28,
 IF(AND(_xlpm.t&gt;=_xlpm.lo, _xlpm.t&lt;=_xlpm.hi), 1,
   IF(_xlpm.t&lt;_xlpm.lo, MAX(0, 1 - (_xlpm.lo - _xlpm.t)/(_xlpm.lo*0.5)),
             MAX(0, 1 - (_xlpm.t - _xlpm.hi)/(_xlpm.hi*0.5))
   )
 )
)</f>
        <v>1</v>
      </c>
      <c r="G333" s="2">
        <f>LET(
 _xlpm.h,dss_report!$C333, _xlpm.lo,45, _xlpm.hi,70,
 IF(AND(_xlpm.h&gt;=_xlpm.lo, _xlpm.h&lt;=_xlpm.hi), 1,
   IF(_xlpm.h&lt;_xlpm.lo, MAX(0, 1 - (_xlpm.lo - _xlpm.h)/(_xlpm.lo*0.5)),
             MAX(0, 1 - (_xlpm.h - _xlpm.hi)/(_xlpm.hi*0.5))
   )
 )
)</f>
        <v>1</v>
      </c>
      <c r="H333" s="2">
        <f t="shared" si="1"/>
        <v>1</v>
      </c>
      <c r="I333" s="2" t="b">
        <f>IF(OR(dss_report!$D333=TRUE, H333&lt;0.3), TRUE, FALSE)</f>
        <v>0</v>
      </c>
      <c r="J333" s="2" t="b">
        <f>IF( OR( AND(dss_report!$B333&gt;31, dss_report!$C333&lt;38), H333&lt;0.25 ), TRUE, FALSE)</f>
        <v>0</v>
      </c>
      <c r="K333" s="2">
        <f t="shared" si="2"/>
        <v>0</v>
      </c>
      <c r="L333" s="2">
        <f t="shared" si="3"/>
        <v>0</v>
      </c>
      <c r="M333" s="2">
        <f t="shared" si="4"/>
        <v>0</v>
      </c>
      <c r="N333" s="2">
        <f t="shared" si="5"/>
        <v>1</v>
      </c>
      <c r="O333" s="2">
        <f t="shared" si="6"/>
        <v>0</v>
      </c>
      <c r="P333" s="2">
        <f t="shared" si="7"/>
        <v>0</v>
      </c>
    </row>
    <row r="334" ht="14.25" customHeight="1">
      <c r="A334" s="4">
        <v>45447.458333333336</v>
      </c>
      <c r="B334" s="1">
        <v>25.900176198207106</v>
      </c>
      <c r="C334" s="1">
        <v>49.12923072493956</v>
      </c>
      <c r="D334" s="1" t="b">
        <f>IF(AND(dss_report!$B334&gt;30, dss_report!$C334&lt;40), TRUE, FALSE)</f>
        <v>0</v>
      </c>
      <c r="E334" s="1"/>
      <c r="F334" s="2">
        <f>LET(
 _xlpm.t,dss_report!$B334, _xlpm.lo,18, _xlpm.hi,28,
 IF(AND(_xlpm.t&gt;=_xlpm.lo, _xlpm.t&lt;=_xlpm.hi), 1,
   IF(_xlpm.t&lt;_xlpm.lo, MAX(0, 1 - (_xlpm.lo - _xlpm.t)/(_xlpm.lo*0.5)),
             MAX(0, 1 - (_xlpm.t - _xlpm.hi)/(_xlpm.hi*0.5))
   )
 )
)</f>
        <v>1</v>
      </c>
      <c r="G334" s="2">
        <f>LET(
 _xlpm.h,dss_report!$C334, _xlpm.lo,45, _xlpm.hi,70,
 IF(AND(_xlpm.h&gt;=_xlpm.lo, _xlpm.h&lt;=_xlpm.hi), 1,
   IF(_xlpm.h&lt;_xlpm.lo, MAX(0, 1 - (_xlpm.lo - _xlpm.h)/(_xlpm.lo*0.5)),
             MAX(0, 1 - (_xlpm.h - _xlpm.hi)/(_xlpm.hi*0.5))
   )
 )
)</f>
        <v>1</v>
      </c>
      <c r="H334" s="2">
        <f t="shared" si="1"/>
        <v>1</v>
      </c>
      <c r="I334" s="2" t="b">
        <f>IF(OR(dss_report!$D334=TRUE, H334&lt;0.3), TRUE, FALSE)</f>
        <v>0</v>
      </c>
      <c r="J334" s="2" t="b">
        <f>IF( OR( AND(dss_report!$B334&gt;31, dss_report!$C334&lt;38), H334&lt;0.25 ), TRUE, FALSE)</f>
        <v>0</v>
      </c>
      <c r="K334" s="2">
        <f t="shared" si="2"/>
        <v>0</v>
      </c>
      <c r="L334" s="2">
        <f t="shared" si="3"/>
        <v>0</v>
      </c>
      <c r="M334" s="2">
        <f t="shared" si="4"/>
        <v>0</v>
      </c>
      <c r="N334" s="2">
        <f t="shared" si="5"/>
        <v>1</v>
      </c>
      <c r="O334" s="2">
        <f t="shared" si="6"/>
        <v>0</v>
      </c>
      <c r="P334" s="2">
        <f t="shared" si="7"/>
        <v>0</v>
      </c>
    </row>
    <row r="335" ht="14.25" customHeight="1">
      <c r="A335" s="4">
        <v>45447.46875</v>
      </c>
      <c r="B335" s="1">
        <v>25.836998515046254</v>
      </c>
      <c r="C335" s="1">
        <v>46.90786383964003</v>
      </c>
      <c r="D335" s="1" t="b">
        <f>IF(AND(dss_report!$B335&gt;30, dss_report!$C335&lt;40), TRUE, FALSE)</f>
        <v>0</v>
      </c>
      <c r="E335" s="1"/>
      <c r="F335" s="2">
        <f>LET(
 _xlpm.t,dss_report!$B335, _xlpm.lo,18, _xlpm.hi,28,
 IF(AND(_xlpm.t&gt;=_xlpm.lo, _xlpm.t&lt;=_xlpm.hi), 1,
   IF(_xlpm.t&lt;_xlpm.lo, MAX(0, 1 - (_xlpm.lo - _xlpm.t)/(_xlpm.lo*0.5)),
             MAX(0, 1 - (_xlpm.t - _xlpm.hi)/(_xlpm.hi*0.5))
   )
 )
)</f>
        <v>1</v>
      </c>
      <c r="G335" s="2">
        <f>LET(
 _xlpm.h,dss_report!$C335, _xlpm.lo,45, _xlpm.hi,70,
 IF(AND(_xlpm.h&gt;=_xlpm.lo, _xlpm.h&lt;=_xlpm.hi), 1,
   IF(_xlpm.h&lt;_xlpm.lo, MAX(0, 1 - (_xlpm.lo - _xlpm.h)/(_xlpm.lo*0.5)),
             MAX(0, 1 - (_xlpm.h - _xlpm.hi)/(_xlpm.hi*0.5))
   )
 )
)</f>
        <v>1</v>
      </c>
      <c r="H335" s="2">
        <f t="shared" si="1"/>
        <v>1</v>
      </c>
      <c r="I335" s="2" t="b">
        <f>IF(OR(dss_report!$D335=TRUE, H335&lt;0.3), TRUE, FALSE)</f>
        <v>0</v>
      </c>
      <c r="J335" s="2" t="b">
        <f>IF( OR( AND(dss_report!$B335&gt;31, dss_report!$C335&lt;38), H335&lt;0.25 ), TRUE, FALSE)</f>
        <v>0</v>
      </c>
      <c r="K335" s="2">
        <f t="shared" si="2"/>
        <v>0</v>
      </c>
      <c r="L335" s="2">
        <f t="shared" si="3"/>
        <v>0</v>
      </c>
      <c r="M335" s="2">
        <f t="shared" si="4"/>
        <v>0</v>
      </c>
      <c r="N335" s="2">
        <f t="shared" si="5"/>
        <v>1</v>
      </c>
      <c r="O335" s="2">
        <f t="shared" si="6"/>
        <v>0</v>
      </c>
      <c r="P335" s="2">
        <f t="shared" si="7"/>
        <v>0</v>
      </c>
    </row>
    <row r="336" ht="14.25" customHeight="1">
      <c r="A336" s="4">
        <v>45447.479166666664</v>
      </c>
      <c r="B336" s="1">
        <v>26.810736140327567</v>
      </c>
      <c r="C336" s="1">
        <v>44.20051367856582</v>
      </c>
      <c r="D336" s="1" t="b">
        <f>IF(AND(dss_report!$B336&gt;30, dss_report!$C336&lt;40), TRUE, FALSE)</f>
        <v>0</v>
      </c>
      <c r="E336" s="1"/>
      <c r="F336" s="2">
        <f>LET(
 _xlpm.t,dss_report!$B336, _xlpm.lo,18, _xlpm.hi,28,
 IF(AND(_xlpm.t&gt;=_xlpm.lo, _xlpm.t&lt;=_xlpm.hi), 1,
   IF(_xlpm.t&lt;_xlpm.lo, MAX(0, 1 - (_xlpm.lo - _xlpm.t)/(_xlpm.lo*0.5)),
             MAX(0, 1 - (_xlpm.t - _xlpm.hi)/(_xlpm.hi*0.5))
   )
 )
)</f>
        <v>1</v>
      </c>
      <c r="G336" s="2">
        <f>LET(
 _xlpm.h,dss_report!$C336, _xlpm.lo,45, _xlpm.hi,70,
 IF(AND(_xlpm.h&gt;=_xlpm.lo, _xlpm.h&lt;=_xlpm.hi), 1,
   IF(_xlpm.h&lt;_xlpm.lo, MAX(0, 1 - (_xlpm.lo - _xlpm.h)/(_xlpm.lo*0.5)),
             MAX(0, 1 - (_xlpm.h - _xlpm.hi)/(_xlpm.hi*0.5))
   )
 )
)</f>
        <v>0.9644672746</v>
      </c>
      <c r="H336" s="2">
        <f t="shared" si="1"/>
        <v>0.9857869098</v>
      </c>
      <c r="I336" s="2" t="b">
        <f>IF(OR(dss_report!$D336=TRUE, H336&lt;0.3), TRUE, FALSE)</f>
        <v>0</v>
      </c>
      <c r="J336" s="2" t="b">
        <f>IF( OR( AND(dss_report!$B336&gt;31, dss_report!$C336&lt;38), H336&lt;0.25 ), TRUE, FALSE)</f>
        <v>0</v>
      </c>
      <c r="K336" s="2">
        <f t="shared" si="2"/>
        <v>0</v>
      </c>
      <c r="L336" s="2">
        <f t="shared" si="3"/>
        <v>0</v>
      </c>
      <c r="M336" s="2">
        <f t="shared" si="4"/>
        <v>0</v>
      </c>
      <c r="N336" s="2">
        <f t="shared" si="5"/>
        <v>1</v>
      </c>
      <c r="O336" s="2">
        <f t="shared" si="6"/>
        <v>0</v>
      </c>
      <c r="P336" s="2">
        <f t="shared" si="7"/>
        <v>0</v>
      </c>
    </row>
    <row r="337" ht="14.25" customHeight="1">
      <c r="A337" s="4">
        <v>45447.489583333336</v>
      </c>
      <c r="B337" s="1">
        <v>25.402383717989128</v>
      </c>
      <c r="C337" s="1">
        <v>46.06561512650466</v>
      </c>
      <c r="D337" s="1" t="b">
        <f>IF(AND(dss_report!$B337&gt;30, dss_report!$C337&lt;40), TRUE, FALSE)</f>
        <v>0</v>
      </c>
      <c r="E337" s="1"/>
      <c r="F337" s="2">
        <f>LET(
 _xlpm.t,dss_report!$B337, _xlpm.lo,18, _xlpm.hi,28,
 IF(AND(_xlpm.t&gt;=_xlpm.lo, _xlpm.t&lt;=_xlpm.hi), 1,
   IF(_xlpm.t&lt;_xlpm.lo, MAX(0, 1 - (_xlpm.lo - _xlpm.t)/(_xlpm.lo*0.5)),
             MAX(0, 1 - (_xlpm.t - _xlpm.hi)/(_xlpm.hi*0.5))
   )
 )
)</f>
        <v>1</v>
      </c>
      <c r="G337" s="2">
        <f>LET(
 _xlpm.h,dss_report!$C337, _xlpm.lo,45, _xlpm.hi,70,
 IF(AND(_xlpm.h&gt;=_xlpm.lo, _xlpm.h&lt;=_xlpm.hi), 1,
   IF(_xlpm.h&lt;_xlpm.lo, MAX(0, 1 - (_xlpm.lo - _xlpm.h)/(_xlpm.lo*0.5)),
             MAX(0, 1 - (_xlpm.h - _xlpm.hi)/(_xlpm.hi*0.5))
   )
 )
)</f>
        <v>1</v>
      </c>
      <c r="H337" s="2">
        <f t="shared" si="1"/>
        <v>1</v>
      </c>
      <c r="I337" s="2" t="b">
        <f>IF(OR(dss_report!$D337=TRUE, H337&lt;0.3), TRUE, FALSE)</f>
        <v>0</v>
      </c>
      <c r="J337" s="2" t="b">
        <f>IF( OR( AND(dss_report!$B337&gt;31, dss_report!$C337&lt;38), H337&lt;0.25 ), TRUE, FALSE)</f>
        <v>0</v>
      </c>
      <c r="K337" s="2">
        <f t="shared" si="2"/>
        <v>0</v>
      </c>
      <c r="L337" s="2">
        <f t="shared" si="3"/>
        <v>0</v>
      </c>
      <c r="M337" s="2">
        <f t="shared" si="4"/>
        <v>0</v>
      </c>
      <c r="N337" s="2">
        <f t="shared" si="5"/>
        <v>1</v>
      </c>
      <c r="O337" s="2">
        <f t="shared" si="6"/>
        <v>0</v>
      </c>
      <c r="P337" s="2">
        <f t="shared" si="7"/>
        <v>0</v>
      </c>
    </row>
    <row r="338" ht="14.25" customHeight="1">
      <c r="A338" s="4">
        <v>45447.5</v>
      </c>
      <c r="B338" s="1">
        <v>26.338221713038664</v>
      </c>
      <c r="C338" s="1">
        <v>45.92961118728787</v>
      </c>
      <c r="D338" s="1" t="b">
        <f>IF(AND(dss_report!$B338&gt;30, dss_report!$C338&lt;40), TRUE, FALSE)</f>
        <v>0</v>
      </c>
      <c r="E338" s="1"/>
      <c r="F338" s="2">
        <f>LET(
 _xlpm.t,dss_report!$B338, _xlpm.lo,18, _xlpm.hi,28,
 IF(AND(_xlpm.t&gt;=_xlpm.lo, _xlpm.t&lt;=_xlpm.hi), 1,
   IF(_xlpm.t&lt;_xlpm.lo, MAX(0, 1 - (_xlpm.lo - _xlpm.t)/(_xlpm.lo*0.5)),
             MAX(0, 1 - (_xlpm.t - _xlpm.hi)/(_xlpm.hi*0.5))
   )
 )
)</f>
        <v>1</v>
      </c>
      <c r="G338" s="2">
        <f>LET(
 _xlpm.h,dss_report!$C338, _xlpm.lo,45, _xlpm.hi,70,
 IF(AND(_xlpm.h&gt;=_xlpm.lo, _xlpm.h&lt;=_xlpm.hi), 1,
   IF(_xlpm.h&lt;_xlpm.lo, MAX(0, 1 - (_xlpm.lo - _xlpm.h)/(_xlpm.lo*0.5)),
             MAX(0, 1 - (_xlpm.h - _xlpm.hi)/(_xlpm.hi*0.5))
   )
 )
)</f>
        <v>1</v>
      </c>
      <c r="H338" s="2">
        <f t="shared" si="1"/>
        <v>1</v>
      </c>
      <c r="I338" s="2" t="b">
        <f>IF(OR(dss_report!$D338=TRUE, H338&lt;0.3), TRUE, FALSE)</f>
        <v>0</v>
      </c>
      <c r="J338" s="2" t="b">
        <f>IF( OR( AND(dss_report!$B338&gt;31, dss_report!$C338&lt;38), H338&lt;0.25 ), TRUE, FALSE)</f>
        <v>0</v>
      </c>
      <c r="K338" s="2">
        <f t="shared" si="2"/>
        <v>0</v>
      </c>
      <c r="L338" s="2">
        <f t="shared" si="3"/>
        <v>0</v>
      </c>
      <c r="M338" s="2">
        <f t="shared" si="4"/>
        <v>0</v>
      </c>
      <c r="N338" s="2">
        <f t="shared" si="5"/>
        <v>1</v>
      </c>
      <c r="O338" s="2">
        <f t="shared" si="6"/>
        <v>0</v>
      </c>
      <c r="P338" s="2">
        <f t="shared" si="7"/>
        <v>0</v>
      </c>
    </row>
    <row r="339" ht="14.25" customHeight="1">
      <c r="A339" s="4">
        <v>45447.510416666664</v>
      </c>
      <c r="B339" s="1">
        <v>27.88083192551649</v>
      </c>
      <c r="C339" s="1">
        <v>47.51341593779716</v>
      </c>
      <c r="D339" s="1" t="b">
        <f>IF(AND(dss_report!$B339&gt;30, dss_report!$C339&lt;40), TRUE, FALSE)</f>
        <v>0</v>
      </c>
      <c r="E339" s="1"/>
      <c r="F339" s="2">
        <f>LET(
 _xlpm.t,dss_report!$B339, _xlpm.lo,18, _xlpm.hi,28,
 IF(AND(_xlpm.t&gt;=_xlpm.lo, _xlpm.t&lt;=_xlpm.hi), 1,
   IF(_xlpm.t&lt;_xlpm.lo, MAX(0, 1 - (_xlpm.lo - _xlpm.t)/(_xlpm.lo*0.5)),
             MAX(0, 1 - (_xlpm.t - _xlpm.hi)/(_xlpm.hi*0.5))
   )
 )
)</f>
        <v>1</v>
      </c>
      <c r="G339" s="2">
        <f>LET(
 _xlpm.h,dss_report!$C339, _xlpm.lo,45, _xlpm.hi,70,
 IF(AND(_xlpm.h&gt;=_xlpm.lo, _xlpm.h&lt;=_xlpm.hi), 1,
   IF(_xlpm.h&lt;_xlpm.lo, MAX(0, 1 - (_xlpm.lo - _xlpm.h)/(_xlpm.lo*0.5)),
             MAX(0, 1 - (_xlpm.h - _xlpm.hi)/(_xlpm.hi*0.5))
   )
 )
)</f>
        <v>1</v>
      </c>
      <c r="H339" s="2">
        <f t="shared" si="1"/>
        <v>1</v>
      </c>
      <c r="I339" s="2" t="b">
        <f>IF(OR(dss_report!$D339=TRUE, H339&lt;0.3), TRUE, FALSE)</f>
        <v>0</v>
      </c>
      <c r="J339" s="2" t="b">
        <f>IF( OR( AND(dss_report!$B339&gt;31, dss_report!$C339&lt;38), H339&lt;0.25 ), TRUE, FALSE)</f>
        <v>0</v>
      </c>
      <c r="K339" s="2">
        <f t="shared" si="2"/>
        <v>0</v>
      </c>
      <c r="L339" s="2">
        <f t="shared" si="3"/>
        <v>0</v>
      </c>
      <c r="M339" s="2">
        <f t="shared" si="4"/>
        <v>0</v>
      </c>
      <c r="N339" s="2">
        <f t="shared" si="5"/>
        <v>1</v>
      </c>
      <c r="O339" s="2">
        <f t="shared" si="6"/>
        <v>0</v>
      </c>
      <c r="P339" s="2">
        <f t="shared" si="7"/>
        <v>0</v>
      </c>
    </row>
    <row r="340" ht="14.25" customHeight="1">
      <c r="A340" s="4">
        <v>45447.520833333336</v>
      </c>
      <c r="B340" s="1">
        <v>26.724747770203965</v>
      </c>
      <c r="C340" s="1">
        <v>49.45008438730952</v>
      </c>
      <c r="D340" s="1" t="b">
        <f>IF(AND(dss_report!$B340&gt;30, dss_report!$C340&lt;40), TRUE, FALSE)</f>
        <v>0</v>
      </c>
      <c r="E340" s="1"/>
      <c r="F340" s="2">
        <f>LET(
 _xlpm.t,dss_report!$B340, _xlpm.lo,18, _xlpm.hi,28,
 IF(AND(_xlpm.t&gt;=_xlpm.lo, _xlpm.t&lt;=_xlpm.hi), 1,
   IF(_xlpm.t&lt;_xlpm.lo, MAX(0, 1 - (_xlpm.lo - _xlpm.t)/(_xlpm.lo*0.5)),
             MAX(0, 1 - (_xlpm.t - _xlpm.hi)/(_xlpm.hi*0.5))
   )
 )
)</f>
        <v>1</v>
      </c>
      <c r="G340" s="2">
        <f>LET(
 _xlpm.h,dss_report!$C340, _xlpm.lo,45, _xlpm.hi,70,
 IF(AND(_xlpm.h&gt;=_xlpm.lo, _xlpm.h&lt;=_xlpm.hi), 1,
   IF(_xlpm.h&lt;_xlpm.lo, MAX(0, 1 - (_xlpm.lo - _xlpm.h)/(_xlpm.lo*0.5)),
             MAX(0, 1 - (_xlpm.h - _xlpm.hi)/(_xlpm.hi*0.5))
   )
 )
)</f>
        <v>1</v>
      </c>
      <c r="H340" s="2">
        <f t="shared" si="1"/>
        <v>1</v>
      </c>
      <c r="I340" s="2" t="b">
        <f>IF(OR(dss_report!$D340=TRUE, H340&lt;0.3), TRUE, FALSE)</f>
        <v>0</v>
      </c>
      <c r="J340" s="2" t="b">
        <f>IF( OR( AND(dss_report!$B340&gt;31, dss_report!$C340&lt;38), H340&lt;0.25 ), TRUE, FALSE)</f>
        <v>0</v>
      </c>
      <c r="K340" s="2">
        <f t="shared" si="2"/>
        <v>0</v>
      </c>
      <c r="L340" s="2">
        <f t="shared" si="3"/>
        <v>0</v>
      </c>
      <c r="M340" s="2">
        <f t="shared" si="4"/>
        <v>0</v>
      </c>
      <c r="N340" s="2">
        <f t="shared" si="5"/>
        <v>1</v>
      </c>
      <c r="O340" s="2">
        <f t="shared" si="6"/>
        <v>0</v>
      </c>
      <c r="P340" s="2">
        <f t="shared" si="7"/>
        <v>0</v>
      </c>
    </row>
    <row r="341" ht="14.25" customHeight="1">
      <c r="A341" s="4">
        <v>45447.53125</v>
      </c>
      <c r="B341" s="1">
        <v>27.650705993129197</v>
      </c>
      <c r="C341" s="1">
        <v>51.60052772283366</v>
      </c>
      <c r="D341" s="1" t="b">
        <f>IF(AND(dss_report!$B341&gt;30, dss_report!$C341&lt;40), TRUE, FALSE)</f>
        <v>0</v>
      </c>
      <c r="E341" s="1"/>
      <c r="F341" s="2">
        <f>LET(
 _xlpm.t,dss_report!$B341, _xlpm.lo,18, _xlpm.hi,28,
 IF(AND(_xlpm.t&gt;=_xlpm.lo, _xlpm.t&lt;=_xlpm.hi), 1,
   IF(_xlpm.t&lt;_xlpm.lo, MAX(0, 1 - (_xlpm.lo - _xlpm.t)/(_xlpm.lo*0.5)),
             MAX(0, 1 - (_xlpm.t - _xlpm.hi)/(_xlpm.hi*0.5))
   )
 )
)</f>
        <v>1</v>
      </c>
      <c r="G341" s="2">
        <f>LET(
 _xlpm.h,dss_report!$C341, _xlpm.lo,45, _xlpm.hi,70,
 IF(AND(_xlpm.h&gt;=_xlpm.lo, _xlpm.h&lt;=_xlpm.hi), 1,
   IF(_xlpm.h&lt;_xlpm.lo, MAX(0, 1 - (_xlpm.lo - _xlpm.h)/(_xlpm.lo*0.5)),
             MAX(0, 1 - (_xlpm.h - _xlpm.hi)/(_xlpm.hi*0.5))
   )
 )
)</f>
        <v>1</v>
      </c>
      <c r="H341" s="2">
        <f t="shared" si="1"/>
        <v>1</v>
      </c>
      <c r="I341" s="2" t="b">
        <f>IF(OR(dss_report!$D341=TRUE, H341&lt;0.3), TRUE, FALSE)</f>
        <v>0</v>
      </c>
      <c r="J341" s="2" t="b">
        <f>IF( OR( AND(dss_report!$B341&gt;31, dss_report!$C341&lt;38), H341&lt;0.25 ), TRUE, FALSE)</f>
        <v>0</v>
      </c>
      <c r="K341" s="2">
        <f t="shared" si="2"/>
        <v>0</v>
      </c>
      <c r="L341" s="2">
        <f t="shared" si="3"/>
        <v>0</v>
      </c>
      <c r="M341" s="2">
        <f t="shared" si="4"/>
        <v>0</v>
      </c>
      <c r="N341" s="2">
        <f t="shared" si="5"/>
        <v>1</v>
      </c>
      <c r="O341" s="2">
        <f t="shared" si="6"/>
        <v>0</v>
      </c>
      <c r="P341" s="2">
        <f t="shared" si="7"/>
        <v>0</v>
      </c>
    </row>
    <row r="342" ht="14.25" customHeight="1">
      <c r="A342" s="4">
        <v>45447.541666666664</v>
      </c>
      <c r="B342" s="1">
        <v>27.717278334779916</v>
      </c>
      <c r="C342" s="1">
        <v>48.36138973336485</v>
      </c>
      <c r="D342" s="1" t="b">
        <f>IF(AND(dss_report!$B342&gt;30, dss_report!$C342&lt;40), TRUE, FALSE)</f>
        <v>0</v>
      </c>
      <c r="E342" s="1"/>
      <c r="F342" s="2">
        <f>LET(
 _xlpm.t,dss_report!$B342, _xlpm.lo,18, _xlpm.hi,28,
 IF(AND(_xlpm.t&gt;=_xlpm.lo, _xlpm.t&lt;=_xlpm.hi), 1,
   IF(_xlpm.t&lt;_xlpm.lo, MAX(0, 1 - (_xlpm.lo - _xlpm.t)/(_xlpm.lo*0.5)),
             MAX(0, 1 - (_xlpm.t - _xlpm.hi)/(_xlpm.hi*0.5))
   )
 )
)</f>
        <v>1</v>
      </c>
      <c r="G342" s="2">
        <f>LET(
 _xlpm.h,dss_report!$C342, _xlpm.lo,45, _xlpm.hi,70,
 IF(AND(_xlpm.h&gt;=_xlpm.lo, _xlpm.h&lt;=_xlpm.hi), 1,
   IF(_xlpm.h&lt;_xlpm.lo, MAX(0, 1 - (_xlpm.lo - _xlpm.h)/(_xlpm.lo*0.5)),
             MAX(0, 1 - (_xlpm.h - _xlpm.hi)/(_xlpm.hi*0.5))
   )
 )
)</f>
        <v>1</v>
      </c>
      <c r="H342" s="2">
        <f t="shared" si="1"/>
        <v>1</v>
      </c>
      <c r="I342" s="2" t="b">
        <f>IF(OR(dss_report!$D342=TRUE, H342&lt;0.3), TRUE, FALSE)</f>
        <v>0</v>
      </c>
      <c r="J342" s="2" t="b">
        <f>IF( OR( AND(dss_report!$B342&gt;31, dss_report!$C342&lt;38), H342&lt;0.25 ), TRUE, FALSE)</f>
        <v>0</v>
      </c>
      <c r="K342" s="2">
        <f t="shared" si="2"/>
        <v>0</v>
      </c>
      <c r="L342" s="2">
        <f t="shared" si="3"/>
        <v>0</v>
      </c>
      <c r="M342" s="2">
        <f t="shared" si="4"/>
        <v>0</v>
      </c>
      <c r="N342" s="2">
        <f t="shared" si="5"/>
        <v>1</v>
      </c>
      <c r="O342" s="2">
        <f t="shared" si="6"/>
        <v>0</v>
      </c>
      <c r="P342" s="2">
        <f t="shared" si="7"/>
        <v>0</v>
      </c>
    </row>
    <row r="343" ht="14.25" customHeight="1">
      <c r="A343" s="4">
        <v>45447.552083333336</v>
      </c>
      <c r="B343" s="1">
        <v>27.948398603285085</v>
      </c>
      <c r="C343" s="1">
        <v>47.302142545913284</v>
      </c>
      <c r="D343" s="1" t="b">
        <f>IF(AND(dss_report!$B343&gt;30, dss_report!$C343&lt;40), TRUE, FALSE)</f>
        <v>0</v>
      </c>
      <c r="E343" s="1"/>
      <c r="F343" s="2">
        <f>LET(
 _xlpm.t,dss_report!$B343, _xlpm.lo,18, _xlpm.hi,28,
 IF(AND(_xlpm.t&gt;=_xlpm.lo, _xlpm.t&lt;=_xlpm.hi), 1,
   IF(_xlpm.t&lt;_xlpm.lo, MAX(0, 1 - (_xlpm.lo - _xlpm.t)/(_xlpm.lo*0.5)),
             MAX(0, 1 - (_xlpm.t - _xlpm.hi)/(_xlpm.hi*0.5))
   )
 )
)</f>
        <v>1</v>
      </c>
      <c r="G343" s="2">
        <f>LET(
 _xlpm.h,dss_report!$C343, _xlpm.lo,45, _xlpm.hi,70,
 IF(AND(_xlpm.h&gt;=_xlpm.lo, _xlpm.h&lt;=_xlpm.hi), 1,
   IF(_xlpm.h&lt;_xlpm.lo, MAX(0, 1 - (_xlpm.lo - _xlpm.h)/(_xlpm.lo*0.5)),
             MAX(0, 1 - (_xlpm.h - _xlpm.hi)/(_xlpm.hi*0.5))
   )
 )
)</f>
        <v>1</v>
      </c>
      <c r="H343" s="2">
        <f t="shared" si="1"/>
        <v>1</v>
      </c>
      <c r="I343" s="2" t="b">
        <f>IF(OR(dss_report!$D343=TRUE, H343&lt;0.3), TRUE, FALSE)</f>
        <v>0</v>
      </c>
      <c r="J343" s="2" t="b">
        <f>IF( OR( AND(dss_report!$B343&gt;31, dss_report!$C343&lt;38), H343&lt;0.25 ), TRUE, FALSE)</f>
        <v>0</v>
      </c>
      <c r="K343" s="2">
        <f t="shared" si="2"/>
        <v>0</v>
      </c>
      <c r="L343" s="2">
        <f t="shared" si="3"/>
        <v>0</v>
      </c>
      <c r="M343" s="2">
        <f t="shared" si="4"/>
        <v>0</v>
      </c>
      <c r="N343" s="2">
        <f t="shared" si="5"/>
        <v>1</v>
      </c>
      <c r="O343" s="2">
        <f t="shared" si="6"/>
        <v>0</v>
      </c>
      <c r="P343" s="2">
        <f t="shared" si="7"/>
        <v>0</v>
      </c>
    </row>
    <row r="344" ht="14.25" customHeight="1">
      <c r="A344" s="4">
        <v>45447.5625</v>
      </c>
      <c r="B344" s="1">
        <v>27.64400934853979</v>
      </c>
      <c r="C344" s="1">
        <v>48.56302885384561</v>
      </c>
      <c r="D344" s="1" t="b">
        <f>IF(AND(dss_report!$B344&gt;30, dss_report!$C344&lt;40), TRUE, FALSE)</f>
        <v>0</v>
      </c>
      <c r="E344" s="1"/>
      <c r="F344" s="2">
        <f>LET(
 _xlpm.t,dss_report!$B344, _xlpm.lo,18, _xlpm.hi,28,
 IF(AND(_xlpm.t&gt;=_xlpm.lo, _xlpm.t&lt;=_xlpm.hi), 1,
   IF(_xlpm.t&lt;_xlpm.lo, MAX(0, 1 - (_xlpm.lo - _xlpm.t)/(_xlpm.lo*0.5)),
             MAX(0, 1 - (_xlpm.t - _xlpm.hi)/(_xlpm.hi*0.5))
   )
 )
)</f>
        <v>1</v>
      </c>
      <c r="G344" s="2">
        <f>LET(
 _xlpm.h,dss_report!$C344, _xlpm.lo,45, _xlpm.hi,70,
 IF(AND(_xlpm.h&gt;=_xlpm.lo, _xlpm.h&lt;=_xlpm.hi), 1,
   IF(_xlpm.h&lt;_xlpm.lo, MAX(0, 1 - (_xlpm.lo - _xlpm.h)/(_xlpm.lo*0.5)),
             MAX(0, 1 - (_xlpm.h - _xlpm.hi)/(_xlpm.hi*0.5))
   )
 )
)</f>
        <v>1</v>
      </c>
      <c r="H344" s="2">
        <f t="shared" si="1"/>
        <v>1</v>
      </c>
      <c r="I344" s="2" t="b">
        <f>IF(OR(dss_report!$D344=TRUE, H344&lt;0.3), TRUE, FALSE)</f>
        <v>0</v>
      </c>
      <c r="J344" s="2" t="b">
        <f>IF( OR( AND(dss_report!$B344&gt;31, dss_report!$C344&lt;38), H344&lt;0.25 ), TRUE, FALSE)</f>
        <v>0</v>
      </c>
      <c r="K344" s="2">
        <f t="shared" si="2"/>
        <v>0</v>
      </c>
      <c r="L344" s="2">
        <f t="shared" si="3"/>
        <v>0</v>
      </c>
      <c r="M344" s="2">
        <f t="shared" si="4"/>
        <v>0</v>
      </c>
      <c r="N344" s="2">
        <f t="shared" si="5"/>
        <v>1</v>
      </c>
      <c r="O344" s="2">
        <f t="shared" si="6"/>
        <v>0</v>
      </c>
      <c r="P344" s="2">
        <f t="shared" si="7"/>
        <v>0</v>
      </c>
    </row>
    <row r="345" ht="14.25" customHeight="1">
      <c r="A345" s="4">
        <v>45447.572916666664</v>
      </c>
      <c r="B345" s="1">
        <v>26.256748200766886</v>
      </c>
      <c r="C345" s="1">
        <v>48.68804728339495</v>
      </c>
      <c r="D345" s="1" t="b">
        <f>IF(AND(dss_report!$B345&gt;30, dss_report!$C345&lt;40), TRUE, FALSE)</f>
        <v>0</v>
      </c>
      <c r="E345" s="1"/>
      <c r="F345" s="2">
        <f>LET(
 _xlpm.t,dss_report!$B345, _xlpm.lo,18, _xlpm.hi,28,
 IF(AND(_xlpm.t&gt;=_xlpm.lo, _xlpm.t&lt;=_xlpm.hi), 1,
   IF(_xlpm.t&lt;_xlpm.lo, MAX(0, 1 - (_xlpm.lo - _xlpm.t)/(_xlpm.lo*0.5)),
             MAX(0, 1 - (_xlpm.t - _xlpm.hi)/(_xlpm.hi*0.5))
   )
 )
)</f>
        <v>1</v>
      </c>
      <c r="G345" s="2">
        <f>LET(
 _xlpm.h,dss_report!$C345, _xlpm.lo,45, _xlpm.hi,70,
 IF(AND(_xlpm.h&gt;=_xlpm.lo, _xlpm.h&lt;=_xlpm.hi), 1,
   IF(_xlpm.h&lt;_xlpm.lo, MAX(0, 1 - (_xlpm.lo - _xlpm.h)/(_xlpm.lo*0.5)),
             MAX(0, 1 - (_xlpm.h - _xlpm.hi)/(_xlpm.hi*0.5))
   )
 )
)</f>
        <v>1</v>
      </c>
      <c r="H345" s="2">
        <f t="shared" si="1"/>
        <v>1</v>
      </c>
      <c r="I345" s="2" t="b">
        <f>IF(OR(dss_report!$D345=TRUE, H345&lt;0.3), TRUE, FALSE)</f>
        <v>0</v>
      </c>
      <c r="J345" s="2" t="b">
        <f>IF( OR( AND(dss_report!$B345&gt;31, dss_report!$C345&lt;38), H345&lt;0.25 ), TRUE, FALSE)</f>
        <v>0</v>
      </c>
      <c r="K345" s="2">
        <f t="shared" si="2"/>
        <v>0</v>
      </c>
      <c r="L345" s="2">
        <f t="shared" si="3"/>
        <v>0</v>
      </c>
      <c r="M345" s="2">
        <f t="shared" si="4"/>
        <v>0</v>
      </c>
      <c r="N345" s="2">
        <f t="shared" si="5"/>
        <v>1</v>
      </c>
      <c r="O345" s="2">
        <f t="shared" si="6"/>
        <v>0</v>
      </c>
      <c r="P345" s="2">
        <f t="shared" si="7"/>
        <v>0</v>
      </c>
    </row>
    <row r="346" ht="14.25" customHeight="1">
      <c r="A346" s="4">
        <v>45447.583333333336</v>
      </c>
      <c r="B346" s="1">
        <v>27.126628856904922</v>
      </c>
      <c r="C346" s="1">
        <v>48.05472583699558</v>
      </c>
      <c r="D346" s="1" t="b">
        <f>IF(AND(dss_report!$B346&gt;30, dss_report!$C346&lt;40), TRUE, FALSE)</f>
        <v>0</v>
      </c>
      <c r="E346" s="1"/>
      <c r="F346" s="2">
        <f>LET(
 _xlpm.t,dss_report!$B346, _xlpm.lo,18, _xlpm.hi,28,
 IF(AND(_xlpm.t&gt;=_xlpm.lo, _xlpm.t&lt;=_xlpm.hi), 1,
   IF(_xlpm.t&lt;_xlpm.lo, MAX(0, 1 - (_xlpm.lo - _xlpm.t)/(_xlpm.lo*0.5)),
             MAX(0, 1 - (_xlpm.t - _xlpm.hi)/(_xlpm.hi*0.5))
   )
 )
)</f>
        <v>1</v>
      </c>
      <c r="G346" s="2">
        <f>LET(
 _xlpm.h,dss_report!$C346, _xlpm.lo,45, _xlpm.hi,70,
 IF(AND(_xlpm.h&gt;=_xlpm.lo, _xlpm.h&lt;=_xlpm.hi), 1,
   IF(_xlpm.h&lt;_xlpm.lo, MAX(0, 1 - (_xlpm.lo - _xlpm.h)/(_xlpm.lo*0.5)),
             MAX(0, 1 - (_xlpm.h - _xlpm.hi)/(_xlpm.hi*0.5))
   )
 )
)</f>
        <v>1</v>
      </c>
      <c r="H346" s="2">
        <f t="shared" si="1"/>
        <v>1</v>
      </c>
      <c r="I346" s="2" t="b">
        <f>IF(OR(dss_report!$D346=TRUE, H346&lt;0.3), TRUE, FALSE)</f>
        <v>0</v>
      </c>
      <c r="J346" s="2" t="b">
        <f>IF( OR( AND(dss_report!$B346&gt;31, dss_report!$C346&lt;38), H346&lt;0.25 ), TRUE, FALSE)</f>
        <v>0</v>
      </c>
      <c r="K346" s="2">
        <f t="shared" si="2"/>
        <v>0</v>
      </c>
      <c r="L346" s="2">
        <f t="shared" si="3"/>
        <v>0</v>
      </c>
      <c r="M346" s="2">
        <f t="shared" si="4"/>
        <v>0</v>
      </c>
      <c r="N346" s="2">
        <f t="shared" si="5"/>
        <v>1</v>
      </c>
      <c r="O346" s="2">
        <f t="shared" si="6"/>
        <v>0</v>
      </c>
      <c r="P346" s="2">
        <f t="shared" si="7"/>
        <v>0</v>
      </c>
    </row>
    <row r="347" ht="14.25" customHeight="1">
      <c r="A347" s="4">
        <v>45447.59375</v>
      </c>
      <c r="B347" s="1">
        <v>27.13316989072887</v>
      </c>
      <c r="C347" s="1">
        <v>49.200805589326805</v>
      </c>
      <c r="D347" s="1" t="b">
        <f>IF(AND(dss_report!$B347&gt;30, dss_report!$C347&lt;40), TRUE, FALSE)</f>
        <v>0</v>
      </c>
      <c r="E347" s="1"/>
      <c r="F347" s="2">
        <f>LET(
 _xlpm.t,dss_report!$B347, _xlpm.lo,18, _xlpm.hi,28,
 IF(AND(_xlpm.t&gt;=_xlpm.lo, _xlpm.t&lt;=_xlpm.hi), 1,
   IF(_xlpm.t&lt;_xlpm.lo, MAX(0, 1 - (_xlpm.lo - _xlpm.t)/(_xlpm.lo*0.5)),
             MAX(0, 1 - (_xlpm.t - _xlpm.hi)/(_xlpm.hi*0.5))
   )
 )
)</f>
        <v>1</v>
      </c>
      <c r="G347" s="2">
        <f>LET(
 _xlpm.h,dss_report!$C347, _xlpm.lo,45, _xlpm.hi,70,
 IF(AND(_xlpm.h&gt;=_xlpm.lo, _xlpm.h&lt;=_xlpm.hi), 1,
   IF(_xlpm.h&lt;_xlpm.lo, MAX(0, 1 - (_xlpm.lo - _xlpm.h)/(_xlpm.lo*0.5)),
             MAX(0, 1 - (_xlpm.h - _xlpm.hi)/(_xlpm.hi*0.5))
   )
 )
)</f>
        <v>1</v>
      </c>
      <c r="H347" s="2">
        <f t="shared" si="1"/>
        <v>1</v>
      </c>
      <c r="I347" s="2" t="b">
        <f>IF(OR(dss_report!$D347=TRUE, H347&lt;0.3), TRUE, FALSE)</f>
        <v>0</v>
      </c>
      <c r="J347" s="2" t="b">
        <f>IF( OR( AND(dss_report!$B347&gt;31, dss_report!$C347&lt;38), H347&lt;0.25 ), TRUE, FALSE)</f>
        <v>0</v>
      </c>
      <c r="K347" s="2">
        <f t="shared" si="2"/>
        <v>0</v>
      </c>
      <c r="L347" s="2">
        <f t="shared" si="3"/>
        <v>0</v>
      </c>
      <c r="M347" s="2">
        <f t="shared" si="4"/>
        <v>0</v>
      </c>
      <c r="N347" s="2">
        <f t="shared" si="5"/>
        <v>1</v>
      </c>
      <c r="O347" s="2">
        <f t="shared" si="6"/>
        <v>0</v>
      </c>
      <c r="P347" s="2">
        <f t="shared" si="7"/>
        <v>0</v>
      </c>
    </row>
    <row r="348" ht="14.25" customHeight="1">
      <c r="A348" s="4">
        <v>45447.604166666664</v>
      </c>
      <c r="B348" s="1">
        <v>26.395542693728558</v>
      </c>
      <c r="C348" s="1">
        <v>49.404487125050125</v>
      </c>
      <c r="D348" s="1" t="b">
        <f>IF(AND(dss_report!$B348&gt;30, dss_report!$C348&lt;40), TRUE, FALSE)</f>
        <v>0</v>
      </c>
      <c r="E348" s="1"/>
      <c r="F348" s="2">
        <f>LET(
 _xlpm.t,dss_report!$B348, _xlpm.lo,18, _xlpm.hi,28,
 IF(AND(_xlpm.t&gt;=_xlpm.lo, _xlpm.t&lt;=_xlpm.hi), 1,
   IF(_xlpm.t&lt;_xlpm.lo, MAX(0, 1 - (_xlpm.lo - _xlpm.t)/(_xlpm.lo*0.5)),
             MAX(0, 1 - (_xlpm.t - _xlpm.hi)/(_xlpm.hi*0.5))
   )
 )
)</f>
        <v>1</v>
      </c>
      <c r="G348" s="2">
        <f>LET(
 _xlpm.h,dss_report!$C348, _xlpm.lo,45, _xlpm.hi,70,
 IF(AND(_xlpm.h&gt;=_xlpm.lo, _xlpm.h&lt;=_xlpm.hi), 1,
   IF(_xlpm.h&lt;_xlpm.lo, MAX(0, 1 - (_xlpm.lo - _xlpm.h)/(_xlpm.lo*0.5)),
             MAX(0, 1 - (_xlpm.h - _xlpm.hi)/(_xlpm.hi*0.5))
   )
 )
)</f>
        <v>1</v>
      </c>
      <c r="H348" s="2">
        <f t="shared" si="1"/>
        <v>1</v>
      </c>
      <c r="I348" s="2" t="b">
        <f>IF(OR(dss_report!$D348=TRUE, H348&lt;0.3), TRUE, FALSE)</f>
        <v>0</v>
      </c>
      <c r="J348" s="2" t="b">
        <f>IF( OR( AND(dss_report!$B348&gt;31, dss_report!$C348&lt;38), H348&lt;0.25 ), TRUE, FALSE)</f>
        <v>0</v>
      </c>
      <c r="K348" s="2">
        <f t="shared" si="2"/>
        <v>0</v>
      </c>
      <c r="L348" s="2">
        <f t="shared" si="3"/>
        <v>0</v>
      </c>
      <c r="M348" s="2">
        <f t="shared" si="4"/>
        <v>0</v>
      </c>
      <c r="N348" s="2">
        <f t="shared" si="5"/>
        <v>1</v>
      </c>
      <c r="O348" s="2">
        <f t="shared" si="6"/>
        <v>0</v>
      </c>
      <c r="P348" s="2">
        <f t="shared" si="7"/>
        <v>0</v>
      </c>
    </row>
    <row r="349" ht="14.25" customHeight="1">
      <c r="A349" s="4">
        <v>45447.614583333336</v>
      </c>
      <c r="B349" s="1">
        <v>27.229968446205067</v>
      </c>
      <c r="C349" s="1">
        <v>47.303952848261794</v>
      </c>
      <c r="D349" s="1" t="b">
        <f>IF(AND(dss_report!$B349&gt;30, dss_report!$C349&lt;40), TRUE, FALSE)</f>
        <v>0</v>
      </c>
      <c r="E349" s="1"/>
      <c r="F349" s="2">
        <f>LET(
 _xlpm.t,dss_report!$B349, _xlpm.lo,18, _xlpm.hi,28,
 IF(AND(_xlpm.t&gt;=_xlpm.lo, _xlpm.t&lt;=_xlpm.hi), 1,
   IF(_xlpm.t&lt;_xlpm.lo, MAX(0, 1 - (_xlpm.lo - _xlpm.t)/(_xlpm.lo*0.5)),
             MAX(0, 1 - (_xlpm.t - _xlpm.hi)/(_xlpm.hi*0.5))
   )
 )
)</f>
        <v>1</v>
      </c>
      <c r="G349" s="2">
        <f>LET(
 _xlpm.h,dss_report!$C349, _xlpm.lo,45, _xlpm.hi,70,
 IF(AND(_xlpm.h&gt;=_xlpm.lo, _xlpm.h&lt;=_xlpm.hi), 1,
   IF(_xlpm.h&lt;_xlpm.lo, MAX(0, 1 - (_xlpm.lo - _xlpm.h)/(_xlpm.lo*0.5)),
             MAX(0, 1 - (_xlpm.h - _xlpm.hi)/(_xlpm.hi*0.5))
   )
 )
)</f>
        <v>1</v>
      </c>
      <c r="H349" s="2">
        <f t="shared" si="1"/>
        <v>1</v>
      </c>
      <c r="I349" s="2" t="b">
        <f>IF(OR(dss_report!$D349=TRUE, H349&lt;0.3), TRUE, FALSE)</f>
        <v>0</v>
      </c>
      <c r="J349" s="2" t="b">
        <f>IF( OR( AND(dss_report!$B349&gt;31, dss_report!$C349&lt;38), H349&lt;0.25 ), TRUE, FALSE)</f>
        <v>0</v>
      </c>
      <c r="K349" s="2">
        <f t="shared" si="2"/>
        <v>0</v>
      </c>
      <c r="L349" s="2">
        <f t="shared" si="3"/>
        <v>0</v>
      </c>
      <c r="M349" s="2">
        <f t="shared" si="4"/>
        <v>0</v>
      </c>
      <c r="N349" s="2">
        <f t="shared" si="5"/>
        <v>1</v>
      </c>
      <c r="O349" s="2">
        <f t="shared" si="6"/>
        <v>0</v>
      </c>
      <c r="P349" s="2">
        <f t="shared" si="7"/>
        <v>0</v>
      </c>
    </row>
    <row r="350" ht="14.25" customHeight="1">
      <c r="A350" s="4">
        <v>45447.625</v>
      </c>
      <c r="B350" s="1">
        <v>26.749065298284233</v>
      </c>
      <c r="C350" s="1">
        <v>51.00425634969154</v>
      </c>
      <c r="D350" s="1" t="b">
        <f>IF(AND(dss_report!$B350&gt;30, dss_report!$C350&lt;40), TRUE, FALSE)</f>
        <v>0</v>
      </c>
      <c r="E350" s="1"/>
      <c r="F350" s="2">
        <f>LET(
 _xlpm.t,dss_report!$B350, _xlpm.lo,18, _xlpm.hi,28,
 IF(AND(_xlpm.t&gt;=_xlpm.lo, _xlpm.t&lt;=_xlpm.hi), 1,
   IF(_xlpm.t&lt;_xlpm.lo, MAX(0, 1 - (_xlpm.lo - _xlpm.t)/(_xlpm.lo*0.5)),
             MAX(0, 1 - (_xlpm.t - _xlpm.hi)/(_xlpm.hi*0.5))
   )
 )
)</f>
        <v>1</v>
      </c>
      <c r="G350" s="2">
        <f>LET(
 _xlpm.h,dss_report!$C350, _xlpm.lo,45, _xlpm.hi,70,
 IF(AND(_xlpm.h&gt;=_xlpm.lo, _xlpm.h&lt;=_xlpm.hi), 1,
   IF(_xlpm.h&lt;_xlpm.lo, MAX(0, 1 - (_xlpm.lo - _xlpm.h)/(_xlpm.lo*0.5)),
             MAX(0, 1 - (_xlpm.h - _xlpm.hi)/(_xlpm.hi*0.5))
   )
 )
)</f>
        <v>1</v>
      </c>
      <c r="H350" s="2">
        <f t="shared" si="1"/>
        <v>1</v>
      </c>
      <c r="I350" s="2" t="b">
        <f>IF(OR(dss_report!$D350=TRUE, H350&lt;0.3), TRUE, FALSE)</f>
        <v>0</v>
      </c>
      <c r="J350" s="2" t="b">
        <f>IF( OR( AND(dss_report!$B350&gt;31, dss_report!$C350&lt;38), H350&lt;0.25 ), TRUE, FALSE)</f>
        <v>0</v>
      </c>
      <c r="K350" s="2">
        <f t="shared" si="2"/>
        <v>0</v>
      </c>
      <c r="L350" s="2">
        <f t="shared" si="3"/>
        <v>0</v>
      </c>
      <c r="M350" s="2">
        <f t="shared" si="4"/>
        <v>0</v>
      </c>
      <c r="N350" s="2">
        <f t="shared" si="5"/>
        <v>1</v>
      </c>
      <c r="O350" s="2">
        <f t="shared" si="6"/>
        <v>0</v>
      </c>
      <c r="P350" s="2">
        <f t="shared" si="7"/>
        <v>0</v>
      </c>
    </row>
    <row r="351" ht="14.25" customHeight="1">
      <c r="A351" s="4">
        <v>45447.635416666664</v>
      </c>
      <c r="B351" s="1">
        <v>26.522054598165713</v>
      </c>
      <c r="C351" s="1">
        <v>49.43510029224557</v>
      </c>
      <c r="D351" s="1" t="b">
        <f>IF(AND(dss_report!$B351&gt;30, dss_report!$C351&lt;40), TRUE, FALSE)</f>
        <v>0</v>
      </c>
      <c r="E351" s="1"/>
      <c r="F351" s="2">
        <f>LET(
 _xlpm.t,dss_report!$B351, _xlpm.lo,18, _xlpm.hi,28,
 IF(AND(_xlpm.t&gt;=_xlpm.lo, _xlpm.t&lt;=_xlpm.hi), 1,
   IF(_xlpm.t&lt;_xlpm.lo, MAX(0, 1 - (_xlpm.lo - _xlpm.t)/(_xlpm.lo*0.5)),
             MAX(0, 1 - (_xlpm.t - _xlpm.hi)/(_xlpm.hi*0.5))
   )
 )
)</f>
        <v>1</v>
      </c>
      <c r="G351" s="2">
        <f>LET(
 _xlpm.h,dss_report!$C351, _xlpm.lo,45, _xlpm.hi,70,
 IF(AND(_xlpm.h&gt;=_xlpm.lo, _xlpm.h&lt;=_xlpm.hi), 1,
   IF(_xlpm.h&lt;_xlpm.lo, MAX(0, 1 - (_xlpm.lo - _xlpm.h)/(_xlpm.lo*0.5)),
             MAX(0, 1 - (_xlpm.h - _xlpm.hi)/(_xlpm.hi*0.5))
   )
 )
)</f>
        <v>1</v>
      </c>
      <c r="H351" s="2">
        <f t="shared" si="1"/>
        <v>1</v>
      </c>
      <c r="I351" s="2" t="b">
        <f>IF(OR(dss_report!$D351=TRUE, H351&lt;0.3), TRUE, FALSE)</f>
        <v>0</v>
      </c>
      <c r="J351" s="2" t="b">
        <f>IF( OR( AND(dss_report!$B351&gt;31, dss_report!$C351&lt;38), H351&lt;0.25 ), TRUE, FALSE)</f>
        <v>0</v>
      </c>
      <c r="K351" s="2">
        <f t="shared" si="2"/>
        <v>0</v>
      </c>
      <c r="L351" s="2">
        <f t="shared" si="3"/>
        <v>0</v>
      </c>
      <c r="M351" s="2">
        <f t="shared" si="4"/>
        <v>0</v>
      </c>
      <c r="N351" s="2">
        <f t="shared" si="5"/>
        <v>1</v>
      </c>
      <c r="O351" s="2">
        <f t="shared" si="6"/>
        <v>0</v>
      </c>
      <c r="P351" s="2">
        <f t="shared" si="7"/>
        <v>0</v>
      </c>
    </row>
    <row r="352" ht="14.25" customHeight="1">
      <c r="A352" s="4">
        <v>45447.645833333336</v>
      </c>
      <c r="B352" s="1">
        <v>27.893672344381233</v>
      </c>
      <c r="C352" s="1">
        <v>48.4449465967801</v>
      </c>
      <c r="D352" s="1" t="b">
        <f>IF(AND(dss_report!$B352&gt;30, dss_report!$C352&lt;40), TRUE, FALSE)</f>
        <v>0</v>
      </c>
      <c r="E352" s="1"/>
      <c r="F352" s="2">
        <f>LET(
 _xlpm.t,dss_report!$B352, _xlpm.lo,18, _xlpm.hi,28,
 IF(AND(_xlpm.t&gt;=_xlpm.lo, _xlpm.t&lt;=_xlpm.hi), 1,
   IF(_xlpm.t&lt;_xlpm.lo, MAX(0, 1 - (_xlpm.lo - _xlpm.t)/(_xlpm.lo*0.5)),
             MAX(0, 1 - (_xlpm.t - _xlpm.hi)/(_xlpm.hi*0.5))
   )
 )
)</f>
        <v>1</v>
      </c>
      <c r="G352" s="2">
        <f>LET(
 _xlpm.h,dss_report!$C352, _xlpm.lo,45, _xlpm.hi,70,
 IF(AND(_xlpm.h&gt;=_xlpm.lo, _xlpm.h&lt;=_xlpm.hi), 1,
   IF(_xlpm.h&lt;_xlpm.lo, MAX(0, 1 - (_xlpm.lo - _xlpm.h)/(_xlpm.lo*0.5)),
             MAX(0, 1 - (_xlpm.h - _xlpm.hi)/(_xlpm.hi*0.5))
   )
 )
)</f>
        <v>1</v>
      </c>
      <c r="H352" s="2">
        <f t="shared" si="1"/>
        <v>1</v>
      </c>
      <c r="I352" s="2" t="b">
        <f>IF(OR(dss_report!$D352=TRUE, H352&lt;0.3), TRUE, FALSE)</f>
        <v>0</v>
      </c>
      <c r="J352" s="2" t="b">
        <f>IF( OR( AND(dss_report!$B352&gt;31, dss_report!$C352&lt;38), H352&lt;0.25 ), TRUE, FALSE)</f>
        <v>0</v>
      </c>
      <c r="K352" s="2">
        <f t="shared" si="2"/>
        <v>0</v>
      </c>
      <c r="L352" s="2">
        <f t="shared" si="3"/>
        <v>0</v>
      </c>
      <c r="M352" s="2">
        <f t="shared" si="4"/>
        <v>0</v>
      </c>
      <c r="N352" s="2">
        <f t="shared" si="5"/>
        <v>1</v>
      </c>
      <c r="O352" s="2">
        <f t="shared" si="6"/>
        <v>0</v>
      </c>
      <c r="P352" s="2">
        <f t="shared" si="7"/>
        <v>0</v>
      </c>
    </row>
    <row r="353" ht="14.25" customHeight="1">
      <c r="A353" s="4">
        <v>45447.65625</v>
      </c>
      <c r="B353" s="1">
        <v>27.76783031309881</v>
      </c>
      <c r="C353" s="1">
        <v>51.64411186614874</v>
      </c>
      <c r="D353" s="1" t="b">
        <f>IF(AND(dss_report!$B353&gt;30, dss_report!$C353&lt;40), TRUE, FALSE)</f>
        <v>0</v>
      </c>
      <c r="E353" s="1"/>
      <c r="F353" s="2">
        <f>LET(
 _xlpm.t,dss_report!$B353, _xlpm.lo,18, _xlpm.hi,28,
 IF(AND(_xlpm.t&gt;=_xlpm.lo, _xlpm.t&lt;=_xlpm.hi), 1,
   IF(_xlpm.t&lt;_xlpm.lo, MAX(0, 1 - (_xlpm.lo - _xlpm.t)/(_xlpm.lo*0.5)),
             MAX(0, 1 - (_xlpm.t - _xlpm.hi)/(_xlpm.hi*0.5))
   )
 )
)</f>
        <v>1</v>
      </c>
      <c r="G353" s="2">
        <f>LET(
 _xlpm.h,dss_report!$C353, _xlpm.lo,45, _xlpm.hi,70,
 IF(AND(_xlpm.h&gt;=_xlpm.lo, _xlpm.h&lt;=_xlpm.hi), 1,
   IF(_xlpm.h&lt;_xlpm.lo, MAX(0, 1 - (_xlpm.lo - _xlpm.h)/(_xlpm.lo*0.5)),
             MAX(0, 1 - (_xlpm.h - _xlpm.hi)/(_xlpm.hi*0.5))
   )
 )
)</f>
        <v>1</v>
      </c>
      <c r="H353" s="2">
        <f t="shared" si="1"/>
        <v>1</v>
      </c>
      <c r="I353" s="2" t="b">
        <f>IF(OR(dss_report!$D353=TRUE, H353&lt;0.3), TRUE, FALSE)</f>
        <v>0</v>
      </c>
      <c r="J353" s="2" t="b">
        <f>IF( OR( AND(dss_report!$B353&gt;31, dss_report!$C353&lt;38), H353&lt;0.25 ), TRUE, FALSE)</f>
        <v>0</v>
      </c>
      <c r="K353" s="2">
        <f t="shared" si="2"/>
        <v>0</v>
      </c>
      <c r="L353" s="2">
        <f t="shared" si="3"/>
        <v>0</v>
      </c>
      <c r="M353" s="2">
        <f t="shared" si="4"/>
        <v>0</v>
      </c>
      <c r="N353" s="2">
        <f t="shared" si="5"/>
        <v>1</v>
      </c>
      <c r="O353" s="2">
        <f t="shared" si="6"/>
        <v>0</v>
      </c>
      <c r="P353" s="2">
        <f t="shared" si="7"/>
        <v>0</v>
      </c>
    </row>
    <row r="354" ht="14.25" customHeight="1">
      <c r="A354" s="4">
        <v>45447.666666666664</v>
      </c>
      <c r="B354" s="1">
        <v>27.36328684443547</v>
      </c>
      <c r="C354" s="1">
        <v>49.94020189407088</v>
      </c>
      <c r="D354" s="1" t="b">
        <f>IF(AND(dss_report!$B354&gt;30, dss_report!$C354&lt;40), TRUE, FALSE)</f>
        <v>0</v>
      </c>
      <c r="E354" s="1"/>
      <c r="F354" s="2">
        <f>LET(
 _xlpm.t,dss_report!$B354, _xlpm.lo,18, _xlpm.hi,28,
 IF(AND(_xlpm.t&gt;=_xlpm.lo, _xlpm.t&lt;=_xlpm.hi), 1,
   IF(_xlpm.t&lt;_xlpm.lo, MAX(0, 1 - (_xlpm.lo - _xlpm.t)/(_xlpm.lo*0.5)),
             MAX(0, 1 - (_xlpm.t - _xlpm.hi)/(_xlpm.hi*0.5))
   )
 )
)</f>
        <v>1</v>
      </c>
      <c r="G354" s="2">
        <f>LET(
 _xlpm.h,dss_report!$C354, _xlpm.lo,45, _xlpm.hi,70,
 IF(AND(_xlpm.h&gt;=_xlpm.lo, _xlpm.h&lt;=_xlpm.hi), 1,
   IF(_xlpm.h&lt;_xlpm.lo, MAX(0, 1 - (_xlpm.lo - _xlpm.h)/(_xlpm.lo*0.5)),
             MAX(0, 1 - (_xlpm.h - _xlpm.hi)/(_xlpm.hi*0.5))
   )
 )
)</f>
        <v>1</v>
      </c>
      <c r="H354" s="2">
        <f t="shared" si="1"/>
        <v>1</v>
      </c>
      <c r="I354" s="2" t="b">
        <f>IF(OR(dss_report!$D354=TRUE, H354&lt;0.3), TRUE, FALSE)</f>
        <v>0</v>
      </c>
      <c r="J354" s="2" t="b">
        <f>IF( OR( AND(dss_report!$B354&gt;31, dss_report!$C354&lt;38), H354&lt;0.25 ), TRUE, FALSE)</f>
        <v>0</v>
      </c>
      <c r="K354" s="2">
        <f t="shared" si="2"/>
        <v>0</v>
      </c>
      <c r="L354" s="2">
        <f t="shared" si="3"/>
        <v>0</v>
      </c>
      <c r="M354" s="2">
        <f t="shared" si="4"/>
        <v>0</v>
      </c>
      <c r="N354" s="2">
        <f t="shared" si="5"/>
        <v>1</v>
      </c>
      <c r="O354" s="2">
        <f t="shared" si="6"/>
        <v>0</v>
      </c>
      <c r="P354" s="2">
        <f t="shared" si="7"/>
        <v>0</v>
      </c>
    </row>
    <row r="355" ht="14.25" customHeight="1">
      <c r="A355" s="4">
        <v>45447.677083333336</v>
      </c>
      <c r="B355" s="1">
        <v>27.219801818212098</v>
      </c>
      <c r="C355" s="1">
        <v>54.65042318402688</v>
      </c>
      <c r="D355" s="1" t="b">
        <f>IF(AND(dss_report!$B355&gt;30, dss_report!$C355&lt;40), TRUE, FALSE)</f>
        <v>0</v>
      </c>
      <c r="E355" s="1"/>
      <c r="F355" s="2">
        <f>LET(
 _xlpm.t,dss_report!$B355, _xlpm.lo,18, _xlpm.hi,28,
 IF(AND(_xlpm.t&gt;=_xlpm.lo, _xlpm.t&lt;=_xlpm.hi), 1,
   IF(_xlpm.t&lt;_xlpm.lo, MAX(0, 1 - (_xlpm.lo - _xlpm.t)/(_xlpm.lo*0.5)),
             MAX(0, 1 - (_xlpm.t - _xlpm.hi)/(_xlpm.hi*0.5))
   )
 )
)</f>
        <v>1</v>
      </c>
      <c r="G355" s="2">
        <f>LET(
 _xlpm.h,dss_report!$C355, _xlpm.lo,45, _xlpm.hi,70,
 IF(AND(_xlpm.h&gt;=_xlpm.lo, _xlpm.h&lt;=_xlpm.hi), 1,
   IF(_xlpm.h&lt;_xlpm.lo, MAX(0, 1 - (_xlpm.lo - _xlpm.h)/(_xlpm.lo*0.5)),
             MAX(0, 1 - (_xlpm.h - _xlpm.hi)/(_xlpm.hi*0.5))
   )
 )
)</f>
        <v>1</v>
      </c>
      <c r="H355" s="2">
        <f t="shared" si="1"/>
        <v>1</v>
      </c>
      <c r="I355" s="2" t="b">
        <f>IF(OR(dss_report!$D355=TRUE, H355&lt;0.3), TRUE, FALSE)</f>
        <v>0</v>
      </c>
      <c r="J355" s="2" t="b">
        <f>IF( OR( AND(dss_report!$B355&gt;31, dss_report!$C355&lt;38), H355&lt;0.25 ), TRUE, FALSE)</f>
        <v>0</v>
      </c>
      <c r="K355" s="2">
        <f t="shared" si="2"/>
        <v>0</v>
      </c>
      <c r="L355" s="2">
        <f t="shared" si="3"/>
        <v>0</v>
      </c>
      <c r="M355" s="2">
        <f t="shared" si="4"/>
        <v>0</v>
      </c>
      <c r="N355" s="2">
        <f t="shared" si="5"/>
        <v>1</v>
      </c>
      <c r="O355" s="2">
        <f t="shared" si="6"/>
        <v>0</v>
      </c>
      <c r="P355" s="2">
        <f t="shared" si="7"/>
        <v>0</v>
      </c>
    </row>
    <row r="356" ht="14.25" customHeight="1">
      <c r="A356" s="4">
        <v>45447.6875</v>
      </c>
      <c r="B356" s="1">
        <v>27.54075507537885</v>
      </c>
      <c r="C356" s="1">
        <v>52.36528513915449</v>
      </c>
      <c r="D356" s="1" t="b">
        <f>IF(AND(dss_report!$B356&gt;30, dss_report!$C356&lt;40), TRUE, FALSE)</f>
        <v>0</v>
      </c>
      <c r="E356" s="1"/>
      <c r="F356" s="2">
        <f>LET(
 _xlpm.t,dss_report!$B356, _xlpm.lo,18, _xlpm.hi,28,
 IF(AND(_xlpm.t&gt;=_xlpm.lo, _xlpm.t&lt;=_xlpm.hi), 1,
   IF(_xlpm.t&lt;_xlpm.lo, MAX(0, 1 - (_xlpm.lo - _xlpm.t)/(_xlpm.lo*0.5)),
             MAX(0, 1 - (_xlpm.t - _xlpm.hi)/(_xlpm.hi*0.5))
   )
 )
)</f>
        <v>1</v>
      </c>
      <c r="G356" s="2">
        <f>LET(
 _xlpm.h,dss_report!$C356, _xlpm.lo,45, _xlpm.hi,70,
 IF(AND(_xlpm.h&gt;=_xlpm.lo, _xlpm.h&lt;=_xlpm.hi), 1,
   IF(_xlpm.h&lt;_xlpm.lo, MAX(0, 1 - (_xlpm.lo - _xlpm.h)/(_xlpm.lo*0.5)),
             MAX(0, 1 - (_xlpm.h - _xlpm.hi)/(_xlpm.hi*0.5))
   )
 )
)</f>
        <v>1</v>
      </c>
      <c r="H356" s="2">
        <f t="shared" si="1"/>
        <v>1</v>
      </c>
      <c r="I356" s="2" t="b">
        <f>IF(OR(dss_report!$D356=TRUE, H356&lt;0.3), TRUE, FALSE)</f>
        <v>0</v>
      </c>
      <c r="J356" s="2" t="b">
        <f>IF( OR( AND(dss_report!$B356&gt;31, dss_report!$C356&lt;38), H356&lt;0.25 ), TRUE, FALSE)</f>
        <v>0</v>
      </c>
      <c r="K356" s="2">
        <f t="shared" si="2"/>
        <v>0</v>
      </c>
      <c r="L356" s="2">
        <f t="shared" si="3"/>
        <v>0</v>
      </c>
      <c r="M356" s="2">
        <f t="shared" si="4"/>
        <v>0</v>
      </c>
      <c r="N356" s="2">
        <f t="shared" si="5"/>
        <v>1</v>
      </c>
      <c r="O356" s="2">
        <f t="shared" si="6"/>
        <v>0</v>
      </c>
      <c r="P356" s="2">
        <f t="shared" si="7"/>
        <v>0</v>
      </c>
    </row>
    <row r="357" ht="14.25" customHeight="1">
      <c r="A357" s="4">
        <v>45447.697916666664</v>
      </c>
      <c r="B357" s="1">
        <v>27.672143299441974</v>
      </c>
      <c r="C357" s="1">
        <v>51.80909067491064</v>
      </c>
      <c r="D357" s="1" t="b">
        <f>IF(AND(dss_report!$B357&gt;30, dss_report!$C357&lt;40), TRUE, FALSE)</f>
        <v>0</v>
      </c>
      <c r="E357" s="1"/>
      <c r="F357" s="2">
        <f>LET(
 _xlpm.t,dss_report!$B357, _xlpm.lo,18, _xlpm.hi,28,
 IF(AND(_xlpm.t&gt;=_xlpm.lo, _xlpm.t&lt;=_xlpm.hi), 1,
   IF(_xlpm.t&lt;_xlpm.lo, MAX(0, 1 - (_xlpm.lo - _xlpm.t)/(_xlpm.lo*0.5)),
             MAX(0, 1 - (_xlpm.t - _xlpm.hi)/(_xlpm.hi*0.5))
   )
 )
)</f>
        <v>1</v>
      </c>
      <c r="G357" s="2">
        <f>LET(
 _xlpm.h,dss_report!$C357, _xlpm.lo,45, _xlpm.hi,70,
 IF(AND(_xlpm.h&gt;=_xlpm.lo, _xlpm.h&lt;=_xlpm.hi), 1,
   IF(_xlpm.h&lt;_xlpm.lo, MAX(0, 1 - (_xlpm.lo - _xlpm.h)/(_xlpm.lo*0.5)),
             MAX(0, 1 - (_xlpm.h - _xlpm.hi)/(_xlpm.hi*0.5))
   )
 )
)</f>
        <v>1</v>
      </c>
      <c r="H357" s="2">
        <f t="shared" si="1"/>
        <v>1</v>
      </c>
      <c r="I357" s="2" t="b">
        <f>IF(OR(dss_report!$D357=TRUE, H357&lt;0.3), TRUE, FALSE)</f>
        <v>0</v>
      </c>
      <c r="J357" s="2" t="b">
        <f>IF( OR( AND(dss_report!$B357&gt;31, dss_report!$C357&lt;38), H357&lt;0.25 ), TRUE, FALSE)</f>
        <v>0</v>
      </c>
      <c r="K357" s="2">
        <f t="shared" si="2"/>
        <v>0</v>
      </c>
      <c r="L357" s="2">
        <f t="shared" si="3"/>
        <v>0</v>
      </c>
      <c r="M357" s="2">
        <f t="shared" si="4"/>
        <v>0</v>
      </c>
      <c r="N357" s="2">
        <f t="shared" si="5"/>
        <v>1</v>
      </c>
      <c r="O357" s="2">
        <f t="shared" si="6"/>
        <v>0</v>
      </c>
      <c r="P357" s="2">
        <f t="shared" si="7"/>
        <v>0</v>
      </c>
    </row>
    <row r="358" ht="14.25" customHeight="1">
      <c r="A358" s="4">
        <v>45447.708333333336</v>
      </c>
      <c r="B358" s="1">
        <v>27.684571345137954</v>
      </c>
      <c r="C358" s="1">
        <v>50.38715034883844</v>
      </c>
      <c r="D358" s="1" t="b">
        <f>IF(AND(dss_report!$B358&gt;30, dss_report!$C358&lt;40), TRUE, FALSE)</f>
        <v>0</v>
      </c>
      <c r="E358" s="1"/>
      <c r="F358" s="2">
        <f>LET(
 _xlpm.t,dss_report!$B358, _xlpm.lo,18, _xlpm.hi,28,
 IF(AND(_xlpm.t&gt;=_xlpm.lo, _xlpm.t&lt;=_xlpm.hi), 1,
   IF(_xlpm.t&lt;_xlpm.lo, MAX(0, 1 - (_xlpm.lo - _xlpm.t)/(_xlpm.lo*0.5)),
             MAX(0, 1 - (_xlpm.t - _xlpm.hi)/(_xlpm.hi*0.5))
   )
 )
)</f>
        <v>1</v>
      </c>
      <c r="G358" s="2">
        <f>LET(
 _xlpm.h,dss_report!$C358, _xlpm.lo,45, _xlpm.hi,70,
 IF(AND(_xlpm.h&gt;=_xlpm.lo, _xlpm.h&lt;=_xlpm.hi), 1,
   IF(_xlpm.h&lt;_xlpm.lo, MAX(0, 1 - (_xlpm.lo - _xlpm.h)/(_xlpm.lo*0.5)),
             MAX(0, 1 - (_xlpm.h - _xlpm.hi)/(_xlpm.hi*0.5))
   )
 )
)</f>
        <v>1</v>
      </c>
      <c r="H358" s="2">
        <f t="shared" si="1"/>
        <v>1</v>
      </c>
      <c r="I358" s="2" t="b">
        <f>IF(OR(dss_report!$D358=TRUE, H358&lt;0.3), TRUE, FALSE)</f>
        <v>0</v>
      </c>
      <c r="J358" s="2" t="b">
        <f>IF( OR( AND(dss_report!$B358&gt;31, dss_report!$C358&lt;38), H358&lt;0.25 ), TRUE, FALSE)</f>
        <v>0</v>
      </c>
      <c r="K358" s="2">
        <f t="shared" si="2"/>
        <v>0</v>
      </c>
      <c r="L358" s="2">
        <f t="shared" si="3"/>
        <v>0</v>
      </c>
      <c r="M358" s="2">
        <f t="shared" si="4"/>
        <v>0</v>
      </c>
      <c r="N358" s="2">
        <f t="shared" si="5"/>
        <v>1</v>
      </c>
      <c r="O358" s="2">
        <f t="shared" si="6"/>
        <v>0</v>
      </c>
      <c r="P358" s="2">
        <f t="shared" si="7"/>
        <v>0</v>
      </c>
    </row>
    <row r="359" ht="14.25" customHeight="1">
      <c r="A359" s="4">
        <v>45447.71875</v>
      </c>
      <c r="B359" s="1">
        <v>27.94944254847675</v>
      </c>
      <c r="C359" s="1">
        <v>51.32710149597585</v>
      </c>
      <c r="D359" s="1" t="b">
        <f>IF(AND(dss_report!$B359&gt;30, dss_report!$C359&lt;40), TRUE, FALSE)</f>
        <v>0</v>
      </c>
      <c r="E359" s="1"/>
      <c r="F359" s="2">
        <f>LET(
 _xlpm.t,dss_report!$B359, _xlpm.lo,18, _xlpm.hi,28,
 IF(AND(_xlpm.t&gt;=_xlpm.lo, _xlpm.t&lt;=_xlpm.hi), 1,
   IF(_xlpm.t&lt;_xlpm.lo, MAX(0, 1 - (_xlpm.lo - _xlpm.t)/(_xlpm.lo*0.5)),
             MAX(0, 1 - (_xlpm.t - _xlpm.hi)/(_xlpm.hi*0.5))
   )
 )
)</f>
        <v>1</v>
      </c>
      <c r="G359" s="2">
        <f>LET(
 _xlpm.h,dss_report!$C359, _xlpm.lo,45, _xlpm.hi,70,
 IF(AND(_xlpm.h&gt;=_xlpm.lo, _xlpm.h&lt;=_xlpm.hi), 1,
   IF(_xlpm.h&lt;_xlpm.lo, MAX(0, 1 - (_xlpm.lo - _xlpm.h)/(_xlpm.lo*0.5)),
             MAX(0, 1 - (_xlpm.h - _xlpm.hi)/(_xlpm.hi*0.5))
   )
 )
)</f>
        <v>1</v>
      </c>
      <c r="H359" s="2">
        <f t="shared" si="1"/>
        <v>1</v>
      </c>
      <c r="I359" s="2" t="b">
        <f>IF(OR(dss_report!$D359=TRUE, H359&lt;0.3), TRUE, FALSE)</f>
        <v>0</v>
      </c>
      <c r="J359" s="2" t="b">
        <f>IF( OR( AND(dss_report!$B359&gt;31, dss_report!$C359&lt;38), H359&lt;0.25 ), TRUE, FALSE)</f>
        <v>0</v>
      </c>
      <c r="K359" s="2">
        <f t="shared" si="2"/>
        <v>0</v>
      </c>
      <c r="L359" s="2">
        <f t="shared" si="3"/>
        <v>0</v>
      </c>
      <c r="M359" s="2">
        <f t="shared" si="4"/>
        <v>0</v>
      </c>
      <c r="N359" s="2">
        <f t="shared" si="5"/>
        <v>1</v>
      </c>
      <c r="O359" s="2">
        <f t="shared" si="6"/>
        <v>0</v>
      </c>
      <c r="P359" s="2">
        <f t="shared" si="7"/>
        <v>0</v>
      </c>
    </row>
    <row r="360" ht="14.25" customHeight="1">
      <c r="A360" s="4">
        <v>45447.729166666664</v>
      </c>
      <c r="B360" s="1">
        <v>27.69137144024593</v>
      </c>
      <c r="C360" s="1">
        <v>54.07817365132843</v>
      </c>
      <c r="D360" s="1" t="b">
        <f>IF(AND(dss_report!$B360&gt;30, dss_report!$C360&lt;40), TRUE, FALSE)</f>
        <v>0</v>
      </c>
      <c r="E360" s="1"/>
      <c r="F360" s="2">
        <f>LET(
 _xlpm.t,dss_report!$B360, _xlpm.lo,18, _xlpm.hi,28,
 IF(AND(_xlpm.t&gt;=_xlpm.lo, _xlpm.t&lt;=_xlpm.hi), 1,
   IF(_xlpm.t&lt;_xlpm.lo, MAX(0, 1 - (_xlpm.lo - _xlpm.t)/(_xlpm.lo*0.5)),
             MAX(0, 1 - (_xlpm.t - _xlpm.hi)/(_xlpm.hi*0.5))
   )
 )
)</f>
        <v>1</v>
      </c>
      <c r="G360" s="2">
        <f>LET(
 _xlpm.h,dss_report!$C360, _xlpm.lo,45, _xlpm.hi,70,
 IF(AND(_xlpm.h&gt;=_xlpm.lo, _xlpm.h&lt;=_xlpm.hi), 1,
   IF(_xlpm.h&lt;_xlpm.lo, MAX(0, 1 - (_xlpm.lo - _xlpm.h)/(_xlpm.lo*0.5)),
             MAX(0, 1 - (_xlpm.h - _xlpm.hi)/(_xlpm.hi*0.5))
   )
 )
)</f>
        <v>1</v>
      </c>
      <c r="H360" s="2">
        <f t="shared" si="1"/>
        <v>1</v>
      </c>
      <c r="I360" s="2" t="b">
        <f>IF(OR(dss_report!$D360=TRUE, H360&lt;0.3), TRUE, FALSE)</f>
        <v>0</v>
      </c>
      <c r="J360" s="2" t="b">
        <f>IF( OR( AND(dss_report!$B360&gt;31, dss_report!$C360&lt;38), H360&lt;0.25 ), TRUE, FALSE)</f>
        <v>0</v>
      </c>
      <c r="K360" s="2">
        <f t="shared" si="2"/>
        <v>0</v>
      </c>
      <c r="L360" s="2">
        <f t="shared" si="3"/>
        <v>0</v>
      </c>
      <c r="M360" s="2">
        <f t="shared" si="4"/>
        <v>0</v>
      </c>
      <c r="N360" s="2">
        <f t="shared" si="5"/>
        <v>1</v>
      </c>
      <c r="O360" s="2">
        <f t="shared" si="6"/>
        <v>0</v>
      </c>
      <c r="P360" s="2">
        <f t="shared" si="7"/>
        <v>0</v>
      </c>
    </row>
    <row r="361" ht="14.25" customHeight="1">
      <c r="A361" s="4">
        <v>45447.739583333336</v>
      </c>
      <c r="B361" s="1">
        <v>28.270849390393323</v>
      </c>
      <c r="C361" s="1">
        <v>51.24318906484977</v>
      </c>
      <c r="D361" s="1" t="b">
        <f>IF(AND(dss_report!$B361&gt;30, dss_report!$C361&lt;40), TRUE, FALSE)</f>
        <v>0</v>
      </c>
      <c r="E361" s="1"/>
      <c r="F361" s="2">
        <f>LET(
 _xlpm.t,dss_report!$B361, _xlpm.lo,18, _xlpm.hi,28,
 IF(AND(_xlpm.t&gt;=_xlpm.lo, _xlpm.t&lt;=_xlpm.hi), 1,
   IF(_xlpm.t&lt;_xlpm.lo, MAX(0, 1 - (_xlpm.lo - _xlpm.t)/(_xlpm.lo*0.5)),
             MAX(0, 1 - (_xlpm.t - _xlpm.hi)/(_xlpm.hi*0.5))
   )
 )
)</f>
        <v>0.980653615</v>
      </c>
      <c r="G361" s="2">
        <f>LET(
 _xlpm.h,dss_report!$C361, _xlpm.lo,45, _xlpm.hi,70,
 IF(AND(_xlpm.h&gt;=_xlpm.lo, _xlpm.h&lt;=_xlpm.hi), 1,
   IF(_xlpm.h&lt;_xlpm.lo, MAX(0, 1 - (_xlpm.lo - _xlpm.h)/(_xlpm.lo*0.5)),
             MAX(0, 1 - (_xlpm.h - _xlpm.hi)/(_xlpm.hi*0.5))
   )
 )
)</f>
        <v>1</v>
      </c>
      <c r="H361" s="2">
        <f t="shared" si="1"/>
        <v>0.988392169</v>
      </c>
      <c r="I361" s="2" t="b">
        <f>IF(OR(dss_report!$D361=TRUE, H361&lt;0.3), TRUE, FALSE)</f>
        <v>0</v>
      </c>
      <c r="J361" s="2" t="b">
        <f>IF( OR( AND(dss_report!$B361&gt;31, dss_report!$C361&lt;38), H361&lt;0.25 ), TRUE, FALSE)</f>
        <v>0</v>
      </c>
      <c r="K361" s="2">
        <f t="shared" si="2"/>
        <v>0</v>
      </c>
      <c r="L361" s="2">
        <f t="shared" si="3"/>
        <v>0</v>
      </c>
      <c r="M361" s="2">
        <f t="shared" si="4"/>
        <v>0</v>
      </c>
      <c r="N361" s="2">
        <f t="shared" si="5"/>
        <v>1</v>
      </c>
      <c r="O361" s="2">
        <f t="shared" si="6"/>
        <v>0</v>
      </c>
      <c r="P361" s="2">
        <f t="shared" si="7"/>
        <v>0</v>
      </c>
    </row>
    <row r="362" ht="14.25" customHeight="1">
      <c r="A362" s="4">
        <v>45447.75</v>
      </c>
      <c r="B362" s="1">
        <v>28.36349910721332</v>
      </c>
      <c r="C362" s="1">
        <v>54.374059639552684</v>
      </c>
      <c r="D362" s="1" t="b">
        <f>IF(AND(dss_report!$B362&gt;30, dss_report!$C362&lt;40), TRUE, FALSE)</f>
        <v>0</v>
      </c>
      <c r="E362" s="1"/>
      <c r="F362" s="2">
        <f>LET(
 _xlpm.t,dss_report!$B362, _xlpm.lo,18, _xlpm.hi,28,
 IF(AND(_xlpm.t&gt;=_xlpm.lo, _xlpm.t&lt;=_xlpm.hi), 1,
   IF(_xlpm.t&lt;_xlpm.lo, MAX(0, 1 - (_xlpm.lo - _xlpm.t)/(_xlpm.lo*0.5)),
             MAX(0, 1 - (_xlpm.t - _xlpm.hi)/(_xlpm.hi*0.5))
   )
 )
)</f>
        <v>0.9740357781</v>
      </c>
      <c r="G362" s="2">
        <f>LET(
 _xlpm.h,dss_report!$C362, _xlpm.lo,45, _xlpm.hi,70,
 IF(AND(_xlpm.h&gt;=_xlpm.lo, _xlpm.h&lt;=_xlpm.hi), 1,
   IF(_xlpm.h&lt;_xlpm.lo, MAX(0, 1 - (_xlpm.lo - _xlpm.h)/(_xlpm.lo*0.5)),
             MAX(0, 1 - (_xlpm.h - _xlpm.hi)/(_xlpm.hi*0.5))
   )
 )
)</f>
        <v>1</v>
      </c>
      <c r="H362" s="2">
        <f t="shared" si="1"/>
        <v>0.9844214668</v>
      </c>
      <c r="I362" s="2" t="b">
        <f>IF(OR(dss_report!$D362=TRUE, H362&lt;0.3), TRUE, FALSE)</f>
        <v>0</v>
      </c>
      <c r="J362" s="2" t="b">
        <f>IF( OR( AND(dss_report!$B362&gt;31, dss_report!$C362&lt;38), H362&lt;0.25 ), TRUE, FALSE)</f>
        <v>0</v>
      </c>
      <c r="K362" s="2">
        <f t="shared" si="2"/>
        <v>0</v>
      </c>
      <c r="L362" s="2">
        <f t="shared" si="3"/>
        <v>0</v>
      </c>
      <c r="M362" s="2">
        <f t="shared" si="4"/>
        <v>0</v>
      </c>
      <c r="N362" s="2">
        <f t="shared" si="5"/>
        <v>1</v>
      </c>
      <c r="O362" s="2">
        <f t="shared" si="6"/>
        <v>0</v>
      </c>
      <c r="P362" s="2">
        <f t="shared" si="7"/>
        <v>0</v>
      </c>
    </row>
    <row r="363" ht="14.25" customHeight="1">
      <c r="A363" s="4">
        <v>45447.760416666664</v>
      </c>
      <c r="B363" s="1">
        <v>28.239323963078345</v>
      </c>
      <c r="C363" s="1">
        <v>48.88680010642338</v>
      </c>
      <c r="D363" s="1" t="b">
        <f>IF(AND(dss_report!$B363&gt;30, dss_report!$C363&lt;40), TRUE, FALSE)</f>
        <v>0</v>
      </c>
      <c r="E363" s="1"/>
      <c r="F363" s="2">
        <f>LET(
 _xlpm.t,dss_report!$B363, _xlpm.lo,18, _xlpm.hi,28,
 IF(AND(_xlpm.t&gt;=_xlpm.lo, _xlpm.t&lt;=_xlpm.hi), 1,
   IF(_xlpm.t&lt;_xlpm.lo, MAX(0, 1 - (_xlpm.lo - _xlpm.t)/(_xlpm.lo*0.5)),
             MAX(0, 1 - (_xlpm.t - _xlpm.hi)/(_xlpm.hi*0.5))
   )
 )
)</f>
        <v>0.9829054312</v>
      </c>
      <c r="G363" s="2">
        <f>LET(
 _xlpm.h,dss_report!$C363, _xlpm.lo,45, _xlpm.hi,70,
 IF(AND(_xlpm.h&gt;=_xlpm.lo, _xlpm.h&lt;=_xlpm.hi), 1,
   IF(_xlpm.h&lt;_xlpm.lo, MAX(0, 1 - (_xlpm.lo - _xlpm.h)/(_xlpm.lo*0.5)),
             MAX(0, 1 - (_xlpm.h - _xlpm.hi)/(_xlpm.hi*0.5))
   )
 )
)</f>
        <v>1</v>
      </c>
      <c r="H363" s="2">
        <f t="shared" si="1"/>
        <v>0.9897432587</v>
      </c>
      <c r="I363" s="2" t="b">
        <f>IF(OR(dss_report!$D363=TRUE, H363&lt;0.3), TRUE, FALSE)</f>
        <v>0</v>
      </c>
      <c r="J363" s="2" t="b">
        <f>IF( OR( AND(dss_report!$B363&gt;31, dss_report!$C363&lt;38), H363&lt;0.25 ), TRUE, FALSE)</f>
        <v>0</v>
      </c>
      <c r="K363" s="2">
        <f t="shared" si="2"/>
        <v>0</v>
      </c>
      <c r="L363" s="2">
        <f t="shared" si="3"/>
        <v>0</v>
      </c>
      <c r="M363" s="2">
        <f t="shared" si="4"/>
        <v>0</v>
      </c>
      <c r="N363" s="2">
        <f t="shared" si="5"/>
        <v>1</v>
      </c>
      <c r="O363" s="2">
        <f t="shared" si="6"/>
        <v>0</v>
      </c>
      <c r="P363" s="2">
        <f t="shared" si="7"/>
        <v>0</v>
      </c>
    </row>
    <row r="364" ht="14.25" customHeight="1">
      <c r="A364" s="4">
        <v>45447.770833333336</v>
      </c>
      <c r="B364" s="1">
        <v>27.509787108509975</v>
      </c>
      <c r="C364" s="1">
        <v>53.716685594275255</v>
      </c>
      <c r="D364" s="1" t="b">
        <f>IF(AND(dss_report!$B364&gt;30, dss_report!$C364&lt;40), TRUE, FALSE)</f>
        <v>0</v>
      </c>
      <c r="E364" s="1"/>
      <c r="F364" s="2">
        <f>LET(
 _xlpm.t,dss_report!$B364, _xlpm.lo,18, _xlpm.hi,28,
 IF(AND(_xlpm.t&gt;=_xlpm.lo, _xlpm.t&lt;=_xlpm.hi), 1,
   IF(_xlpm.t&lt;_xlpm.lo, MAX(0, 1 - (_xlpm.lo - _xlpm.t)/(_xlpm.lo*0.5)),
             MAX(0, 1 - (_xlpm.t - _xlpm.hi)/(_xlpm.hi*0.5))
   )
 )
)</f>
        <v>1</v>
      </c>
      <c r="G364" s="2">
        <f>LET(
 _xlpm.h,dss_report!$C364, _xlpm.lo,45, _xlpm.hi,70,
 IF(AND(_xlpm.h&gt;=_xlpm.lo, _xlpm.h&lt;=_xlpm.hi), 1,
   IF(_xlpm.h&lt;_xlpm.lo, MAX(0, 1 - (_xlpm.lo - _xlpm.h)/(_xlpm.lo*0.5)),
             MAX(0, 1 - (_xlpm.h - _xlpm.hi)/(_xlpm.hi*0.5))
   )
 )
)</f>
        <v>1</v>
      </c>
      <c r="H364" s="2">
        <f t="shared" si="1"/>
        <v>1</v>
      </c>
      <c r="I364" s="2" t="b">
        <f>IF(OR(dss_report!$D364=TRUE, H364&lt;0.3), TRUE, FALSE)</f>
        <v>0</v>
      </c>
      <c r="J364" s="2" t="b">
        <f>IF( OR( AND(dss_report!$B364&gt;31, dss_report!$C364&lt;38), H364&lt;0.25 ), TRUE, FALSE)</f>
        <v>0</v>
      </c>
      <c r="K364" s="2">
        <f t="shared" si="2"/>
        <v>0</v>
      </c>
      <c r="L364" s="2">
        <f t="shared" si="3"/>
        <v>0</v>
      </c>
      <c r="M364" s="2">
        <f t="shared" si="4"/>
        <v>0</v>
      </c>
      <c r="N364" s="2">
        <f t="shared" si="5"/>
        <v>1</v>
      </c>
      <c r="O364" s="2">
        <f t="shared" si="6"/>
        <v>0</v>
      </c>
      <c r="P364" s="2">
        <f t="shared" si="7"/>
        <v>0</v>
      </c>
    </row>
    <row r="365" ht="14.25" customHeight="1">
      <c r="A365" s="4">
        <v>45447.78125</v>
      </c>
      <c r="B365" s="1">
        <v>27.52139133924556</v>
      </c>
      <c r="C365" s="1">
        <v>55.17630698724661</v>
      </c>
      <c r="D365" s="1" t="b">
        <f>IF(AND(dss_report!$B365&gt;30, dss_report!$C365&lt;40), TRUE, FALSE)</f>
        <v>0</v>
      </c>
      <c r="E365" s="1"/>
      <c r="F365" s="2">
        <f>LET(
 _xlpm.t,dss_report!$B365, _xlpm.lo,18, _xlpm.hi,28,
 IF(AND(_xlpm.t&gt;=_xlpm.lo, _xlpm.t&lt;=_xlpm.hi), 1,
   IF(_xlpm.t&lt;_xlpm.lo, MAX(0, 1 - (_xlpm.lo - _xlpm.t)/(_xlpm.lo*0.5)),
             MAX(0, 1 - (_xlpm.t - _xlpm.hi)/(_xlpm.hi*0.5))
   )
 )
)</f>
        <v>1</v>
      </c>
      <c r="G365" s="2">
        <f>LET(
 _xlpm.h,dss_report!$C365, _xlpm.lo,45, _xlpm.hi,70,
 IF(AND(_xlpm.h&gt;=_xlpm.lo, _xlpm.h&lt;=_xlpm.hi), 1,
   IF(_xlpm.h&lt;_xlpm.lo, MAX(0, 1 - (_xlpm.lo - _xlpm.h)/(_xlpm.lo*0.5)),
             MAX(0, 1 - (_xlpm.h - _xlpm.hi)/(_xlpm.hi*0.5))
   )
 )
)</f>
        <v>1</v>
      </c>
      <c r="H365" s="2">
        <f t="shared" si="1"/>
        <v>1</v>
      </c>
      <c r="I365" s="2" t="b">
        <f>IF(OR(dss_report!$D365=TRUE, H365&lt;0.3), TRUE, FALSE)</f>
        <v>0</v>
      </c>
      <c r="J365" s="2" t="b">
        <f>IF( OR( AND(dss_report!$B365&gt;31, dss_report!$C365&lt;38), H365&lt;0.25 ), TRUE, FALSE)</f>
        <v>0</v>
      </c>
      <c r="K365" s="2">
        <f t="shared" si="2"/>
        <v>0</v>
      </c>
      <c r="L365" s="2">
        <f t="shared" si="3"/>
        <v>0</v>
      </c>
      <c r="M365" s="2">
        <f t="shared" si="4"/>
        <v>0</v>
      </c>
      <c r="N365" s="2">
        <f t="shared" si="5"/>
        <v>1</v>
      </c>
      <c r="O365" s="2">
        <f t="shared" si="6"/>
        <v>0</v>
      </c>
      <c r="P365" s="2">
        <f t="shared" si="7"/>
        <v>0</v>
      </c>
    </row>
    <row r="366" ht="14.25" customHeight="1">
      <c r="A366" s="4">
        <v>45447.791666666664</v>
      </c>
      <c r="B366" s="1">
        <v>28.23021084543934</v>
      </c>
      <c r="C366" s="1">
        <v>54.44485489624413</v>
      </c>
      <c r="D366" s="1" t="b">
        <f>IF(AND(dss_report!$B366&gt;30, dss_report!$C366&lt;40), TRUE, FALSE)</f>
        <v>0</v>
      </c>
      <c r="E366" s="1"/>
      <c r="F366" s="2">
        <f>LET(
 _xlpm.t,dss_report!$B366, _xlpm.lo,18, _xlpm.hi,28,
 IF(AND(_xlpm.t&gt;=_xlpm.lo, _xlpm.t&lt;=_xlpm.hi), 1,
   IF(_xlpm.t&lt;_xlpm.lo, MAX(0, 1 - (_xlpm.lo - _xlpm.t)/(_xlpm.lo*0.5)),
             MAX(0, 1 - (_xlpm.t - _xlpm.hi)/(_xlpm.hi*0.5))
   )
 )
)</f>
        <v>0.9835563682</v>
      </c>
      <c r="G366" s="2">
        <f>LET(
 _xlpm.h,dss_report!$C366, _xlpm.lo,45, _xlpm.hi,70,
 IF(AND(_xlpm.h&gt;=_xlpm.lo, _xlpm.h&lt;=_xlpm.hi), 1,
   IF(_xlpm.h&lt;_xlpm.lo, MAX(0, 1 - (_xlpm.lo - _xlpm.h)/(_xlpm.lo*0.5)),
             MAX(0, 1 - (_xlpm.h - _xlpm.hi)/(_xlpm.hi*0.5))
   )
 )
)</f>
        <v>1</v>
      </c>
      <c r="H366" s="2">
        <f t="shared" si="1"/>
        <v>0.9901338209</v>
      </c>
      <c r="I366" s="2" t="b">
        <f>IF(OR(dss_report!$D366=TRUE, H366&lt;0.3), TRUE, FALSE)</f>
        <v>0</v>
      </c>
      <c r="J366" s="2" t="b">
        <f>IF( OR( AND(dss_report!$B366&gt;31, dss_report!$C366&lt;38), H366&lt;0.25 ), TRUE, FALSE)</f>
        <v>0</v>
      </c>
      <c r="K366" s="2">
        <f t="shared" si="2"/>
        <v>0</v>
      </c>
      <c r="L366" s="2">
        <f t="shared" si="3"/>
        <v>0</v>
      </c>
      <c r="M366" s="2">
        <f t="shared" si="4"/>
        <v>0</v>
      </c>
      <c r="N366" s="2">
        <f t="shared" si="5"/>
        <v>1</v>
      </c>
      <c r="O366" s="2">
        <f t="shared" si="6"/>
        <v>0</v>
      </c>
      <c r="P366" s="2">
        <f t="shared" si="7"/>
        <v>0</v>
      </c>
    </row>
    <row r="367" ht="14.25" customHeight="1">
      <c r="A367" s="4">
        <v>45447.802083333336</v>
      </c>
      <c r="B367" s="1">
        <v>27.75465267440396</v>
      </c>
      <c r="C367" s="1">
        <v>53.98072867526292</v>
      </c>
      <c r="D367" s="1" t="b">
        <f>IF(AND(dss_report!$B367&gt;30, dss_report!$C367&lt;40), TRUE, FALSE)</f>
        <v>0</v>
      </c>
      <c r="E367" s="1"/>
      <c r="F367" s="2">
        <f>LET(
 _xlpm.t,dss_report!$B367, _xlpm.lo,18, _xlpm.hi,28,
 IF(AND(_xlpm.t&gt;=_xlpm.lo, _xlpm.t&lt;=_xlpm.hi), 1,
   IF(_xlpm.t&lt;_xlpm.lo, MAX(0, 1 - (_xlpm.lo - _xlpm.t)/(_xlpm.lo*0.5)),
             MAX(0, 1 - (_xlpm.t - _xlpm.hi)/(_xlpm.hi*0.5))
   )
 )
)</f>
        <v>1</v>
      </c>
      <c r="G367" s="2">
        <f>LET(
 _xlpm.h,dss_report!$C367, _xlpm.lo,45, _xlpm.hi,70,
 IF(AND(_xlpm.h&gt;=_xlpm.lo, _xlpm.h&lt;=_xlpm.hi), 1,
   IF(_xlpm.h&lt;_xlpm.lo, MAX(0, 1 - (_xlpm.lo - _xlpm.h)/(_xlpm.lo*0.5)),
             MAX(0, 1 - (_xlpm.h - _xlpm.hi)/(_xlpm.hi*0.5))
   )
 )
)</f>
        <v>1</v>
      </c>
      <c r="H367" s="2">
        <f t="shared" si="1"/>
        <v>1</v>
      </c>
      <c r="I367" s="2" t="b">
        <f>IF(OR(dss_report!$D367=TRUE, H367&lt;0.3), TRUE, FALSE)</f>
        <v>0</v>
      </c>
      <c r="J367" s="2" t="b">
        <f>IF( OR( AND(dss_report!$B367&gt;31, dss_report!$C367&lt;38), H367&lt;0.25 ), TRUE, FALSE)</f>
        <v>0</v>
      </c>
      <c r="K367" s="2">
        <f t="shared" si="2"/>
        <v>0</v>
      </c>
      <c r="L367" s="2">
        <f t="shared" si="3"/>
        <v>0</v>
      </c>
      <c r="M367" s="2">
        <f t="shared" si="4"/>
        <v>0</v>
      </c>
      <c r="N367" s="2">
        <f t="shared" si="5"/>
        <v>1</v>
      </c>
      <c r="O367" s="2">
        <f t="shared" si="6"/>
        <v>0</v>
      </c>
      <c r="P367" s="2">
        <f t="shared" si="7"/>
        <v>0</v>
      </c>
    </row>
    <row r="368" ht="14.25" customHeight="1">
      <c r="A368" s="4">
        <v>45447.8125</v>
      </c>
      <c r="B368" s="1">
        <v>27.823120869957364</v>
      </c>
      <c r="C368" s="1">
        <v>56.227105859612095</v>
      </c>
      <c r="D368" s="1" t="b">
        <f>IF(AND(dss_report!$B368&gt;30, dss_report!$C368&lt;40), TRUE, FALSE)</f>
        <v>0</v>
      </c>
      <c r="E368" s="1"/>
      <c r="F368" s="2">
        <f>LET(
 _xlpm.t,dss_report!$B368, _xlpm.lo,18, _xlpm.hi,28,
 IF(AND(_xlpm.t&gt;=_xlpm.lo, _xlpm.t&lt;=_xlpm.hi), 1,
   IF(_xlpm.t&lt;_xlpm.lo, MAX(0, 1 - (_xlpm.lo - _xlpm.t)/(_xlpm.lo*0.5)),
             MAX(0, 1 - (_xlpm.t - _xlpm.hi)/(_xlpm.hi*0.5))
   )
 )
)</f>
        <v>1</v>
      </c>
      <c r="G368" s="2">
        <f>LET(
 _xlpm.h,dss_report!$C368, _xlpm.lo,45, _xlpm.hi,70,
 IF(AND(_xlpm.h&gt;=_xlpm.lo, _xlpm.h&lt;=_xlpm.hi), 1,
   IF(_xlpm.h&lt;_xlpm.lo, MAX(0, 1 - (_xlpm.lo - _xlpm.h)/(_xlpm.lo*0.5)),
             MAX(0, 1 - (_xlpm.h - _xlpm.hi)/(_xlpm.hi*0.5))
   )
 )
)</f>
        <v>1</v>
      </c>
      <c r="H368" s="2">
        <f t="shared" si="1"/>
        <v>1</v>
      </c>
      <c r="I368" s="2" t="b">
        <f>IF(OR(dss_report!$D368=TRUE, H368&lt;0.3), TRUE, FALSE)</f>
        <v>0</v>
      </c>
      <c r="J368" s="2" t="b">
        <f>IF( OR( AND(dss_report!$B368&gt;31, dss_report!$C368&lt;38), H368&lt;0.25 ), TRUE, FALSE)</f>
        <v>0</v>
      </c>
      <c r="K368" s="2">
        <f t="shared" si="2"/>
        <v>0</v>
      </c>
      <c r="L368" s="2">
        <f t="shared" si="3"/>
        <v>0</v>
      </c>
      <c r="M368" s="2">
        <f t="shared" si="4"/>
        <v>0</v>
      </c>
      <c r="N368" s="2">
        <f t="shared" si="5"/>
        <v>1</v>
      </c>
      <c r="O368" s="2">
        <f t="shared" si="6"/>
        <v>0</v>
      </c>
      <c r="P368" s="2">
        <f t="shared" si="7"/>
        <v>0</v>
      </c>
    </row>
    <row r="369" ht="14.25" customHeight="1">
      <c r="A369" s="4">
        <v>45447.822916666664</v>
      </c>
      <c r="B369" s="1">
        <v>26.06370347068434</v>
      </c>
      <c r="C369" s="1">
        <v>52.71099959732928</v>
      </c>
      <c r="D369" s="1" t="b">
        <f>IF(AND(dss_report!$B369&gt;30, dss_report!$C369&lt;40), TRUE, FALSE)</f>
        <v>0</v>
      </c>
      <c r="E369" s="1"/>
      <c r="F369" s="2">
        <f>LET(
 _xlpm.t,dss_report!$B369, _xlpm.lo,18, _xlpm.hi,28,
 IF(AND(_xlpm.t&gt;=_xlpm.lo, _xlpm.t&lt;=_xlpm.hi), 1,
   IF(_xlpm.t&lt;_xlpm.lo, MAX(0, 1 - (_xlpm.lo - _xlpm.t)/(_xlpm.lo*0.5)),
             MAX(0, 1 - (_xlpm.t - _xlpm.hi)/(_xlpm.hi*0.5))
   )
 )
)</f>
        <v>1</v>
      </c>
      <c r="G369" s="2">
        <f>LET(
 _xlpm.h,dss_report!$C369, _xlpm.lo,45, _xlpm.hi,70,
 IF(AND(_xlpm.h&gt;=_xlpm.lo, _xlpm.h&lt;=_xlpm.hi), 1,
   IF(_xlpm.h&lt;_xlpm.lo, MAX(0, 1 - (_xlpm.lo - _xlpm.h)/(_xlpm.lo*0.5)),
             MAX(0, 1 - (_xlpm.h - _xlpm.hi)/(_xlpm.hi*0.5))
   )
 )
)</f>
        <v>1</v>
      </c>
      <c r="H369" s="2">
        <f t="shared" si="1"/>
        <v>1</v>
      </c>
      <c r="I369" s="2" t="b">
        <f>IF(OR(dss_report!$D369=TRUE, H369&lt;0.3), TRUE, FALSE)</f>
        <v>0</v>
      </c>
      <c r="J369" s="2" t="b">
        <f>IF( OR( AND(dss_report!$B369&gt;31, dss_report!$C369&lt;38), H369&lt;0.25 ), TRUE, FALSE)</f>
        <v>0</v>
      </c>
      <c r="K369" s="2">
        <f t="shared" si="2"/>
        <v>0</v>
      </c>
      <c r="L369" s="2">
        <f t="shared" si="3"/>
        <v>0</v>
      </c>
      <c r="M369" s="2">
        <f t="shared" si="4"/>
        <v>0</v>
      </c>
      <c r="N369" s="2">
        <f t="shared" si="5"/>
        <v>1</v>
      </c>
      <c r="O369" s="2">
        <f t="shared" si="6"/>
        <v>0</v>
      </c>
      <c r="P369" s="2">
        <f t="shared" si="7"/>
        <v>0</v>
      </c>
    </row>
    <row r="370" ht="14.25" customHeight="1">
      <c r="A370" s="4">
        <v>45447.833333333336</v>
      </c>
      <c r="B370" s="1">
        <v>25.866899159764607</v>
      </c>
      <c r="C370" s="1">
        <v>52.664665412958975</v>
      </c>
      <c r="D370" s="1" t="b">
        <f>IF(AND(dss_report!$B370&gt;30, dss_report!$C370&lt;40), TRUE, FALSE)</f>
        <v>0</v>
      </c>
      <c r="E370" s="1"/>
      <c r="F370" s="2">
        <f>LET(
 _xlpm.t,dss_report!$B370, _xlpm.lo,18, _xlpm.hi,28,
 IF(AND(_xlpm.t&gt;=_xlpm.lo, _xlpm.t&lt;=_xlpm.hi), 1,
   IF(_xlpm.t&lt;_xlpm.lo, MAX(0, 1 - (_xlpm.lo - _xlpm.t)/(_xlpm.lo*0.5)),
             MAX(0, 1 - (_xlpm.t - _xlpm.hi)/(_xlpm.hi*0.5))
   )
 )
)</f>
        <v>1</v>
      </c>
      <c r="G370" s="2">
        <f>LET(
 _xlpm.h,dss_report!$C370, _xlpm.lo,45, _xlpm.hi,70,
 IF(AND(_xlpm.h&gt;=_xlpm.lo, _xlpm.h&lt;=_xlpm.hi), 1,
   IF(_xlpm.h&lt;_xlpm.lo, MAX(0, 1 - (_xlpm.lo - _xlpm.h)/(_xlpm.lo*0.5)),
             MAX(0, 1 - (_xlpm.h - _xlpm.hi)/(_xlpm.hi*0.5))
   )
 )
)</f>
        <v>1</v>
      </c>
      <c r="H370" s="2">
        <f t="shared" si="1"/>
        <v>1</v>
      </c>
      <c r="I370" s="2" t="b">
        <f>IF(OR(dss_report!$D370=TRUE, H370&lt;0.3), TRUE, FALSE)</f>
        <v>0</v>
      </c>
      <c r="J370" s="2" t="b">
        <f>IF( OR( AND(dss_report!$B370&gt;31, dss_report!$C370&lt;38), H370&lt;0.25 ), TRUE, FALSE)</f>
        <v>0</v>
      </c>
      <c r="K370" s="2">
        <f t="shared" si="2"/>
        <v>0</v>
      </c>
      <c r="L370" s="2">
        <f t="shared" si="3"/>
        <v>0</v>
      </c>
      <c r="M370" s="2">
        <f t="shared" si="4"/>
        <v>0</v>
      </c>
      <c r="N370" s="2">
        <f t="shared" si="5"/>
        <v>1</v>
      </c>
      <c r="O370" s="2">
        <f t="shared" si="6"/>
        <v>0</v>
      </c>
      <c r="P370" s="2">
        <f t="shared" si="7"/>
        <v>0</v>
      </c>
    </row>
    <row r="371" ht="14.25" customHeight="1">
      <c r="A371" s="4">
        <v>45447.84375</v>
      </c>
      <c r="B371" s="1">
        <v>27.936025431367852</v>
      </c>
      <c r="C371" s="1">
        <v>55.04740924473161</v>
      </c>
      <c r="D371" s="1" t="b">
        <f>IF(AND(dss_report!$B371&gt;30, dss_report!$C371&lt;40), TRUE, FALSE)</f>
        <v>0</v>
      </c>
      <c r="E371" s="1"/>
      <c r="F371" s="2">
        <f>LET(
 _xlpm.t,dss_report!$B371, _xlpm.lo,18, _xlpm.hi,28,
 IF(AND(_xlpm.t&gt;=_xlpm.lo, _xlpm.t&lt;=_xlpm.hi), 1,
   IF(_xlpm.t&lt;_xlpm.lo, MAX(0, 1 - (_xlpm.lo - _xlpm.t)/(_xlpm.lo*0.5)),
             MAX(0, 1 - (_xlpm.t - _xlpm.hi)/(_xlpm.hi*0.5))
   )
 )
)</f>
        <v>1</v>
      </c>
      <c r="G371" s="2">
        <f>LET(
 _xlpm.h,dss_report!$C371, _xlpm.lo,45, _xlpm.hi,70,
 IF(AND(_xlpm.h&gt;=_xlpm.lo, _xlpm.h&lt;=_xlpm.hi), 1,
   IF(_xlpm.h&lt;_xlpm.lo, MAX(0, 1 - (_xlpm.lo - _xlpm.h)/(_xlpm.lo*0.5)),
             MAX(0, 1 - (_xlpm.h - _xlpm.hi)/(_xlpm.hi*0.5))
   )
 )
)</f>
        <v>1</v>
      </c>
      <c r="H371" s="2">
        <f t="shared" si="1"/>
        <v>1</v>
      </c>
      <c r="I371" s="2" t="b">
        <f>IF(OR(dss_report!$D371=TRUE, H371&lt;0.3), TRUE, FALSE)</f>
        <v>0</v>
      </c>
      <c r="J371" s="2" t="b">
        <f>IF( OR( AND(dss_report!$B371&gt;31, dss_report!$C371&lt;38), H371&lt;0.25 ), TRUE, FALSE)</f>
        <v>0</v>
      </c>
      <c r="K371" s="2">
        <f t="shared" si="2"/>
        <v>0</v>
      </c>
      <c r="L371" s="2">
        <f t="shared" si="3"/>
        <v>0</v>
      </c>
      <c r="M371" s="2">
        <f t="shared" si="4"/>
        <v>0</v>
      </c>
      <c r="N371" s="2">
        <f t="shared" si="5"/>
        <v>1</v>
      </c>
      <c r="O371" s="2">
        <f t="shared" si="6"/>
        <v>0</v>
      </c>
      <c r="P371" s="2">
        <f t="shared" si="7"/>
        <v>0</v>
      </c>
    </row>
    <row r="372" ht="14.25" customHeight="1">
      <c r="A372" s="4">
        <v>45447.854166666664</v>
      </c>
      <c r="B372" s="1">
        <v>27.868028712868604</v>
      </c>
      <c r="C372" s="1">
        <v>57.44405737635855</v>
      </c>
      <c r="D372" s="1" t="b">
        <f>IF(AND(dss_report!$B372&gt;30, dss_report!$C372&lt;40), TRUE, FALSE)</f>
        <v>0</v>
      </c>
      <c r="E372" s="1"/>
      <c r="F372" s="2">
        <f>LET(
 _xlpm.t,dss_report!$B372, _xlpm.lo,18, _xlpm.hi,28,
 IF(AND(_xlpm.t&gt;=_xlpm.lo, _xlpm.t&lt;=_xlpm.hi), 1,
   IF(_xlpm.t&lt;_xlpm.lo, MAX(0, 1 - (_xlpm.lo - _xlpm.t)/(_xlpm.lo*0.5)),
             MAX(0, 1 - (_xlpm.t - _xlpm.hi)/(_xlpm.hi*0.5))
   )
 )
)</f>
        <v>1</v>
      </c>
      <c r="G372" s="2">
        <f>LET(
 _xlpm.h,dss_report!$C372, _xlpm.lo,45, _xlpm.hi,70,
 IF(AND(_xlpm.h&gt;=_xlpm.lo, _xlpm.h&lt;=_xlpm.hi), 1,
   IF(_xlpm.h&lt;_xlpm.lo, MAX(0, 1 - (_xlpm.lo - _xlpm.h)/(_xlpm.lo*0.5)),
             MAX(0, 1 - (_xlpm.h - _xlpm.hi)/(_xlpm.hi*0.5))
   )
 )
)</f>
        <v>1</v>
      </c>
      <c r="H372" s="2">
        <f t="shared" si="1"/>
        <v>1</v>
      </c>
      <c r="I372" s="2" t="b">
        <f>IF(OR(dss_report!$D372=TRUE, H372&lt;0.3), TRUE, FALSE)</f>
        <v>0</v>
      </c>
      <c r="J372" s="2" t="b">
        <f>IF( OR( AND(dss_report!$B372&gt;31, dss_report!$C372&lt;38), H372&lt;0.25 ), TRUE, FALSE)</f>
        <v>0</v>
      </c>
      <c r="K372" s="2">
        <f t="shared" si="2"/>
        <v>0</v>
      </c>
      <c r="L372" s="2">
        <f t="shared" si="3"/>
        <v>0</v>
      </c>
      <c r="M372" s="2">
        <f t="shared" si="4"/>
        <v>0</v>
      </c>
      <c r="N372" s="2">
        <f t="shared" si="5"/>
        <v>1</v>
      </c>
      <c r="O372" s="2">
        <f t="shared" si="6"/>
        <v>0</v>
      </c>
      <c r="P372" s="2">
        <f t="shared" si="7"/>
        <v>0</v>
      </c>
    </row>
    <row r="373" ht="14.25" customHeight="1">
      <c r="A373" s="4">
        <v>45447.864583333336</v>
      </c>
      <c r="B373" s="1">
        <v>28.544419264484088</v>
      </c>
      <c r="C373" s="1">
        <v>56.09879274558274</v>
      </c>
      <c r="D373" s="1" t="b">
        <f>IF(AND(dss_report!$B373&gt;30, dss_report!$C373&lt;40), TRUE, FALSE)</f>
        <v>0</v>
      </c>
      <c r="E373" s="1"/>
      <c r="F373" s="2">
        <f>LET(
 _xlpm.t,dss_report!$B373, _xlpm.lo,18, _xlpm.hi,28,
 IF(AND(_xlpm.t&gt;=_xlpm.lo, _xlpm.t&lt;=_xlpm.hi), 1,
   IF(_xlpm.t&lt;_xlpm.lo, MAX(0, 1 - (_xlpm.lo - _xlpm.t)/(_xlpm.lo*0.5)),
             MAX(0, 1 - (_xlpm.t - _xlpm.hi)/(_xlpm.hi*0.5))
   )
 )
)</f>
        <v>0.9611129097</v>
      </c>
      <c r="G373" s="2">
        <f>LET(
 _xlpm.h,dss_report!$C373, _xlpm.lo,45, _xlpm.hi,70,
 IF(AND(_xlpm.h&gt;=_xlpm.lo, _xlpm.h&lt;=_xlpm.hi), 1,
   IF(_xlpm.h&lt;_xlpm.lo, MAX(0, 1 - (_xlpm.lo - _xlpm.h)/(_xlpm.lo*0.5)),
             MAX(0, 1 - (_xlpm.h - _xlpm.hi)/(_xlpm.hi*0.5))
   )
 )
)</f>
        <v>1</v>
      </c>
      <c r="H373" s="2">
        <f t="shared" si="1"/>
        <v>0.9766677458</v>
      </c>
      <c r="I373" s="2" t="b">
        <f>IF(OR(dss_report!$D373=TRUE, H373&lt;0.3), TRUE, FALSE)</f>
        <v>0</v>
      </c>
      <c r="J373" s="2" t="b">
        <f>IF( OR( AND(dss_report!$B373&gt;31, dss_report!$C373&lt;38), H373&lt;0.25 ), TRUE, FALSE)</f>
        <v>0</v>
      </c>
      <c r="K373" s="2">
        <f t="shared" si="2"/>
        <v>0</v>
      </c>
      <c r="L373" s="2">
        <f t="shared" si="3"/>
        <v>0</v>
      </c>
      <c r="M373" s="2">
        <f t="shared" si="4"/>
        <v>0</v>
      </c>
      <c r="N373" s="2">
        <f t="shared" si="5"/>
        <v>1</v>
      </c>
      <c r="O373" s="2">
        <f t="shared" si="6"/>
        <v>0</v>
      </c>
      <c r="P373" s="2">
        <f t="shared" si="7"/>
        <v>0</v>
      </c>
    </row>
    <row r="374" ht="14.25" customHeight="1">
      <c r="A374" s="4">
        <v>45447.875</v>
      </c>
      <c r="B374" s="1">
        <v>27.99997965750553</v>
      </c>
      <c r="C374" s="1">
        <v>55.038961001366246</v>
      </c>
      <c r="D374" s="1" t="b">
        <f>IF(AND(dss_report!$B374&gt;30, dss_report!$C374&lt;40), TRUE, FALSE)</f>
        <v>0</v>
      </c>
      <c r="E374" s="1"/>
      <c r="F374" s="2">
        <f>LET(
 _xlpm.t,dss_report!$B374, _xlpm.lo,18, _xlpm.hi,28,
 IF(AND(_xlpm.t&gt;=_xlpm.lo, _xlpm.t&lt;=_xlpm.hi), 1,
   IF(_xlpm.t&lt;_xlpm.lo, MAX(0, 1 - (_xlpm.lo - _xlpm.t)/(_xlpm.lo*0.5)),
             MAX(0, 1 - (_xlpm.t - _xlpm.hi)/(_xlpm.hi*0.5))
   )
 )
)</f>
        <v>1</v>
      </c>
      <c r="G374" s="2">
        <f>LET(
 _xlpm.h,dss_report!$C374, _xlpm.lo,45, _xlpm.hi,70,
 IF(AND(_xlpm.h&gt;=_xlpm.lo, _xlpm.h&lt;=_xlpm.hi), 1,
   IF(_xlpm.h&lt;_xlpm.lo, MAX(0, 1 - (_xlpm.lo - _xlpm.h)/(_xlpm.lo*0.5)),
             MAX(0, 1 - (_xlpm.h - _xlpm.hi)/(_xlpm.hi*0.5))
   )
 )
)</f>
        <v>1</v>
      </c>
      <c r="H374" s="2">
        <f t="shared" si="1"/>
        <v>1</v>
      </c>
      <c r="I374" s="2" t="b">
        <f>IF(OR(dss_report!$D374=TRUE, H374&lt;0.3), TRUE, FALSE)</f>
        <v>0</v>
      </c>
      <c r="J374" s="2" t="b">
        <f>IF( OR( AND(dss_report!$B374&gt;31, dss_report!$C374&lt;38), H374&lt;0.25 ), TRUE, FALSE)</f>
        <v>0</v>
      </c>
      <c r="K374" s="2">
        <f t="shared" si="2"/>
        <v>0</v>
      </c>
      <c r="L374" s="2">
        <f t="shared" si="3"/>
        <v>0</v>
      </c>
      <c r="M374" s="2">
        <f t="shared" si="4"/>
        <v>0</v>
      </c>
      <c r="N374" s="2">
        <f t="shared" si="5"/>
        <v>1</v>
      </c>
      <c r="O374" s="2">
        <f t="shared" si="6"/>
        <v>0</v>
      </c>
      <c r="P374" s="2">
        <f t="shared" si="7"/>
        <v>0</v>
      </c>
    </row>
    <row r="375" ht="14.25" customHeight="1">
      <c r="A375" s="4">
        <v>45447.885416666664</v>
      </c>
      <c r="B375" s="1">
        <v>27.571114818021407</v>
      </c>
      <c r="C375" s="1">
        <v>56.21457010463364</v>
      </c>
      <c r="D375" s="1" t="b">
        <f>IF(AND(dss_report!$B375&gt;30, dss_report!$C375&lt;40), TRUE, FALSE)</f>
        <v>0</v>
      </c>
      <c r="E375" s="1"/>
      <c r="F375" s="2">
        <f>LET(
 _xlpm.t,dss_report!$B375, _xlpm.lo,18, _xlpm.hi,28,
 IF(AND(_xlpm.t&gt;=_xlpm.lo, _xlpm.t&lt;=_xlpm.hi), 1,
   IF(_xlpm.t&lt;_xlpm.lo, MAX(0, 1 - (_xlpm.lo - _xlpm.t)/(_xlpm.lo*0.5)),
             MAX(0, 1 - (_xlpm.t - _xlpm.hi)/(_xlpm.hi*0.5))
   )
 )
)</f>
        <v>1</v>
      </c>
      <c r="G375" s="2">
        <f>LET(
 _xlpm.h,dss_report!$C375, _xlpm.lo,45, _xlpm.hi,70,
 IF(AND(_xlpm.h&gt;=_xlpm.lo, _xlpm.h&lt;=_xlpm.hi), 1,
   IF(_xlpm.h&lt;_xlpm.lo, MAX(0, 1 - (_xlpm.lo - _xlpm.h)/(_xlpm.lo*0.5)),
             MAX(0, 1 - (_xlpm.h - _xlpm.hi)/(_xlpm.hi*0.5))
   )
 )
)</f>
        <v>1</v>
      </c>
      <c r="H375" s="2">
        <f t="shared" si="1"/>
        <v>1</v>
      </c>
      <c r="I375" s="2" t="b">
        <f>IF(OR(dss_report!$D375=TRUE, H375&lt;0.3), TRUE, FALSE)</f>
        <v>0</v>
      </c>
      <c r="J375" s="2" t="b">
        <f>IF( OR( AND(dss_report!$B375&gt;31, dss_report!$C375&lt;38), H375&lt;0.25 ), TRUE, FALSE)</f>
        <v>0</v>
      </c>
      <c r="K375" s="2">
        <f t="shared" si="2"/>
        <v>0</v>
      </c>
      <c r="L375" s="2">
        <f t="shared" si="3"/>
        <v>0</v>
      </c>
      <c r="M375" s="2">
        <f t="shared" si="4"/>
        <v>0</v>
      </c>
      <c r="N375" s="2">
        <f t="shared" si="5"/>
        <v>1</v>
      </c>
      <c r="O375" s="2">
        <f t="shared" si="6"/>
        <v>0</v>
      </c>
      <c r="P375" s="2">
        <f t="shared" si="7"/>
        <v>0</v>
      </c>
    </row>
    <row r="376" ht="14.25" customHeight="1">
      <c r="A376" s="4">
        <v>45447.895833333336</v>
      </c>
      <c r="B376" s="1">
        <v>27.342790063185458</v>
      </c>
      <c r="C376" s="1">
        <v>56.68003359702823</v>
      </c>
      <c r="D376" s="1" t="b">
        <f>IF(AND(dss_report!$B376&gt;30, dss_report!$C376&lt;40), TRUE, FALSE)</f>
        <v>0</v>
      </c>
      <c r="E376" s="1"/>
      <c r="F376" s="2">
        <f>LET(
 _xlpm.t,dss_report!$B376, _xlpm.lo,18, _xlpm.hi,28,
 IF(AND(_xlpm.t&gt;=_xlpm.lo, _xlpm.t&lt;=_xlpm.hi), 1,
   IF(_xlpm.t&lt;_xlpm.lo, MAX(0, 1 - (_xlpm.lo - _xlpm.t)/(_xlpm.lo*0.5)),
             MAX(0, 1 - (_xlpm.t - _xlpm.hi)/(_xlpm.hi*0.5))
   )
 )
)</f>
        <v>1</v>
      </c>
      <c r="G376" s="2">
        <f>LET(
 _xlpm.h,dss_report!$C376, _xlpm.lo,45, _xlpm.hi,70,
 IF(AND(_xlpm.h&gt;=_xlpm.lo, _xlpm.h&lt;=_xlpm.hi), 1,
   IF(_xlpm.h&lt;_xlpm.lo, MAX(0, 1 - (_xlpm.lo - _xlpm.h)/(_xlpm.lo*0.5)),
             MAX(0, 1 - (_xlpm.h - _xlpm.hi)/(_xlpm.hi*0.5))
   )
 )
)</f>
        <v>1</v>
      </c>
      <c r="H376" s="2">
        <f t="shared" si="1"/>
        <v>1</v>
      </c>
      <c r="I376" s="2" t="b">
        <f>IF(OR(dss_report!$D376=TRUE, H376&lt;0.3), TRUE, FALSE)</f>
        <v>0</v>
      </c>
      <c r="J376" s="2" t="b">
        <f>IF( OR( AND(dss_report!$B376&gt;31, dss_report!$C376&lt;38), H376&lt;0.25 ), TRUE, FALSE)</f>
        <v>0</v>
      </c>
      <c r="K376" s="2">
        <f t="shared" si="2"/>
        <v>0</v>
      </c>
      <c r="L376" s="2">
        <f t="shared" si="3"/>
        <v>0</v>
      </c>
      <c r="M376" s="2">
        <f t="shared" si="4"/>
        <v>0</v>
      </c>
      <c r="N376" s="2">
        <f t="shared" si="5"/>
        <v>1</v>
      </c>
      <c r="O376" s="2">
        <f t="shared" si="6"/>
        <v>0</v>
      </c>
      <c r="P376" s="2">
        <f t="shared" si="7"/>
        <v>0</v>
      </c>
    </row>
    <row r="377" ht="14.25" customHeight="1">
      <c r="A377" s="4">
        <v>45447.90625</v>
      </c>
      <c r="B377" s="1">
        <v>26.24289427431317</v>
      </c>
      <c r="C377" s="1">
        <v>53.4804741694082</v>
      </c>
      <c r="D377" s="1" t="b">
        <f>IF(AND(dss_report!$B377&gt;30, dss_report!$C377&lt;40), TRUE, FALSE)</f>
        <v>0</v>
      </c>
      <c r="E377" s="1"/>
      <c r="F377" s="2">
        <f>LET(
 _xlpm.t,dss_report!$B377, _xlpm.lo,18, _xlpm.hi,28,
 IF(AND(_xlpm.t&gt;=_xlpm.lo, _xlpm.t&lt;=_xlpm.hi), 1,
   IF(_xlpm.t&lt;_xlpm.lo, MAX(0, 1 - (_xlpm.lo - _xlpm.t)/(_xlpm.lo*0.5)),
             MAX(0, 1 - (_xlpm.t - _xlpm.hi)/(_xlpm.hi*0.5))
   )
 )
)</f>
        <v>1</v>
      </c>
      <c r="G377" s="2">
        <f>LET(
 _xlpm.h,dss_report!$C377, _xlpm.lo,45, _xlpm.hi,70,
 IF(AND(_xlpm.h&gt;=_xlpm.lo, _xlpm.h&lt;=_xlpm.hi), 1,
   IF(_xlpm.h&lt;_xlpm.lo, MAX(0, 1 - (_xlpm.lo - _xlpm.h)/(_xlpm.lo*0.5)),
             MAX(0, 1 - (_xlpm.h - _xlpm.hi)/(_xlpm.hi*0.5))
   )
 )
)</f>
        <v>1</v>
      </c>
      <c r="H377" s="2">
        <f t="shared" si="1"/>
        <v>1</v>
      </c>
      <c r="I377" s="2" t="b">
        <f>IF(OR(dss_report!$D377=TRUE, H377&lt;0.3), TRUE, FALSE)</f>
        <v>0</v>
      </c>
      <c r="J377" s="2" t="b">
        <f>IF( OR( AND(dss_report!$B377&gt;31, dss_report!$C377&lt;38), H377&lt;0.25 ), TRUE, FALSE)</f>
        <v>0</v>
      </c>
      <c r="K377" s="2">
        <f t="shared" si="2"/>
        <v>0</v>
      </c>
      <c r="L377" s="2">
        <f t="shared" si="3"/>
        <v>0</v>
      </c>
      <c r="M377" s="2">
        <f t="shared" si="4"/>
        <v>0</v>
      </c>
      <c r="N377" s="2">
        <f t="shared" si="5"/>
        <v>1</v>
      </c>
      <c r="O377" s="2">
        <f t="shared" si="6"/>
        <v>0</v>
      </c>
      <c r="P377" s="2">
        <f t="shared" si="7"/>
        <v>0</v>
      </c>
    </row>
    <row r="378" ht="14.25" customHeight="1">
      <c r="A378" s="4">
        <v>45447.916666666664</v>
      </c>
      <c r="B378" s="1">
        <v>27.76508851285626</v>
      </c>
      <c r="C378" s="1">
        <v>50.51709531997919</v>
      </c>
      <c r="D378" s="1" t="b">
        <f>IF(AND(dss_report!$B378&gt;30, dss_report!$C378&lt;40), TRUE, FALSE)</f>
        <v>0</v>
      </c>
      <c r="E378" s="1"/>
      <c r="F378" s="2">
        <f>LET(
 _xlpm.t,dss_report!$B378, _xlpm.lo,18, _xlpm.hi,28,
 IF(AND(_xlpm.t&gt;=_xlpm.lo, _xlpm.t&lt;=_xlpm.hi), 1,
   IF(_xlpm.t&lt;_xlpm.lo, MAX(0, 1 - (_xlpm.lo - _xlpm.t)/(_xlpm.lo*0.5)),
             MAX(0, 1 - (_xlpm.t - _xlpm.hi)/(_xlpm.hi*0.5))
   )
 )
)</f>
        <v>1</v>
      </c>
      <c r="G378" s="2">
        <f>LET(
 _xlpm.h,dss_report!$C378, _xlpm.lo,45, _xlpm.hi,70,
 IF(AND(_xlpm.h&gt;=_xlpm.lo, _xlpm.h&lt;=_xlpm.hi), 1,
   IF(_xlpm.h&lt;_xlpm.lo, MAX(0, 1 - (_xlpm.lo - _xlpm.h)/(_xlpm.lo*0.5)),
             MAX(0, 1 - (_xlpm.h - _xlpm.hi)/(_xlpm.hi*0.5))
   )
 )
)</f>
        <v>1</v>
      </c>
      <c r="H378" s="2">
        <f t="shared" si="1"/>
        <v>1</v>
      </c>
      <c r="I378" s="2" t="b">
        <f>IF(OR(dss_report!$D378=TRUE, H378&lt;0.3), TRUE, FALSE)</f>
        <v>0</v>
      </c>
      <c r="J378" s="2" t="b">
        <f>IF( OR( AND(dss_report!$B378&gt;31, dss_report!$C378&lt;38), H378&lt;0.25 ), TRUE, FALSE)</f>
        <v>0</v>
      </c>
      <c r="K378" s="2">
        <f t="shared" si="2"/>
        <v>0</v>
      </c>
      <c r="L378" s="2">
        <f t="shared" si="3"/>
        <v>0</v>
      </c>
      <c r="M378" s="2">
        <f t="shared" si="4"/>
        <v>0</v>
      </c>
      <c r="N378" s="2">
        <f t="shared" si="5"/>
        <v>1</v>
      </c>
      <c r="O378" s="2">
        <f t="shared" si="6"/>
        <v>0</v>
      </c>
      <c r="P378" s="2">
        <f t="shared" si="7"/>
        <v>0</v>
      </c>
    </row>
    <row r="379" ht="14.25" customHeight="1">
      <c r="A379" s="4">
        <v>45447.927083333336</v>
      </c>
      <c r="B379" s="1">
        <v>26.624731407733886</v>
      </c>
      <c r="C379" s="1">
        <v>54.25404282912135</v>
      </c>
      <c r="D379" s="1" t="b">
        <f>IF(AND(dss_report!$B379&gt;30, dss_report!$C379&lt;40), TRUE, FALSE)</f>
        <v>0</v>
      </c>
      <c r="E379" s="1"/>
      <c r="F379" s="2">
        <f>LET(
 _xlpm.t,dss_report!$B379, _xlpm.lo,18, _xlpm.hi,28,
 IF(AND(_xlpm.t&gt;=_xlpm.lo, _xlpm.t&lt;=_xlpm.hi), 1,
   IF(_xlpm.t&lt;_xlpm.lo, MAX(0, 1 - (_xlpm.lo - _xlpm.t)/(_xlpm.lo*0.5)),
             MAX(0, 1 - (_xlpm.t - _xlpm.hi)/(_xlpm.hi*0.5))
   )
 )
)</f>
        <v>1</v>
      </c>
      <c r="G379" s="2">
        <f>LET(
 _xlpm.h,dss_report!$C379, _xlpm.lo,45, _xlpm.hi,70,
 IF(AND(_xlpm.h&gt;=_xlpm.lo, _xlpm.h&lt;=_xlpm.hi), 1,
   IF(_xlpm.h&lt;_xlpm.lo, MAX(0, 1 - (_xlpm.lo - _xlpm.h)/(_xlpm.lo*0.5)),
             MAX(0, 1 - (_xlpm.h - _xlpm.hi)/(_xlpm.hi*0.5))
   )
 )
)</f>
        <v>1</v>
      </c>
      <c r="H379" s="2">
        <f t="shared" si="1"/>
        <v>1</v>
      </c>
      <c r="I379" s="2" t="b">
        <f>IF(OR(dss_report!$D379=TRUE, H379&lt;0.3), TRUE, FALSE)</f>
        <v>0</v>
      </c>
      <c r="J379" s="2" t="b">
        <f>IF( OR( AND(dss_report!$B379&gt;31, dss_report!$C379&lt;38), H379&lt;0.25 ), TRUE, FALSE)</f>
        <v>0</v>
      </c>
      <c r="K379" s="2">
        <f t="shared" si="2"/>
        <v>0</v>
      </c>
      <c r="L379" s="2">
        <f t="shared" si="3"/>
        <v>0</v>
      </c>
      <c r="M379" s="2">
        <f t="shared" si="4"/>
        <v>0</v>
      </c>
      <c r="N379" s="2">
        <f t="shared" si="5"/>
        <v>1</v>
      </c>
      <c r="O379" s="2">
        <f t="shared" si="6"/>
        <v>0</v>
      </c>
      <c r="P379" s="2">
        <f t="shared" si="7"/>
        <v>0</v>
      </c>
    </row>
    <row r="380" ht="14.25" customHeight="1">
      <c r="A380" s="4">
        <v>45447.9375</v>
      </c>
      <c r="B380" s="1">
        <v>27.294634760900887</v>
      </c>
      <c r="C380" s="1">
        <v>53.473760089977986</v>
      </c>
      <c r="D380" s="1" t="b">
        <f>IF(AND(dss_report!$B380&gt;30, dss_report!$C380&lt;40), TRUE, FALSE)</f>
        <v>0</v>
      </c>
      <c r="E380" s="1"/>
      <c r="F380" s="2">
        <f>LET(
 _xlpm.t,dss_report!$B380, _xlpm.lo,18, _xlpm.hi,28,
 IF(AND(_xlpm.t&gt;=_xlpm.lo, _xlpm.t&lt;=_xlpm.hi), 1,
   IF(_xlpm.t&lt;_xlpm.lo, MAX(0, 1 - (_xlpm.lo - _xlpm.t)/(_xlpm.lo*0.5)),
             MAX(0, 1 - (_xlpm.t - _xlpm.hi)/(_xlpm.hi*0.5))
   )
 )
)</f>
        <v>1</v>
      </c>
      <c r="G380" s="2">
        <f>LET(
 _xlpm.h,dss_report!$C380, _xlpm.lo,45, _xlpm.hi,70,
 IF(AND(_xlpm.h&gt;=_xlpm.lo, _xlpm.h&lt;=_xlpm.hi), 1,
   IF(_xlpm.h&lt;_xlpm.lo, MAX(0, 1 - (_xlpm.lo - _xlpm.h)/(_xlpm.lo*0.5)),
             MAX(0, 1 - (_xlpm.h - _xlpm.hi)/(_xlpm.hi*0.5))
   )
 )
)</f>
        <v>1</v>
      </c>
      <c r="H380" s="2">
        <f t="shared" si="1"/>
        <v>1</v>
      </c>
      <c r="I380" s="2" t="b">
        <f>IF(OR(dss_report!$D380=TRUE, H380&lt;0.3), TRUE, FALSE)</f>
        <v>0</v>
      </c>
      <c r="J380" s="2" t="b">
        <f>IF( OR( AND(dss_report!$B380&gt;31, dss_report!$C380&lt;38), H380&lt;0.25 ), TRUE, FALSE)</f>
        <v>0</v>
      </c>
      <c r="K380" s="2">
        <f t="shared" si="2"/>
        <v>0</v>
      </c>
      <c r="L380" s="2">
        <f t="shared" si="3"/>
        <v>0</v>
      </c>
      <c r="M380" s="2">
        <f t="shared" si="4"/>
        <v>0</v>
      </c>
      <c r="N380" s="2">
        <f t="shared" si="5"/>
        <v>1</v>
      </c>
      <c r="O380" s="2">
        <f t="shared" si="6"/>
        <v>0</v>
      </c>
      <c r="P380" s="2">
        <f t="shared" si="7"/>
        <v>0</v>
      </c>
    </row>
    <row r="381" ht="14.25" customHeight="1">
      <c r="A381" s="4">
        <v>45447.947916666664</v>
      </c>
      <c r="B381" s="1">
        <v>26.9740183158367</v>
      </c>
      <c r="C381" s="1">
        <v>55.4546844766267</v>
      </c>
      <c r="D381" s="1" t="b">
        <f>IF(AND(dss_report!$B381&gt;30, dss_report!$C381&lt;40), TRUE, FALSE)</f>
        <v>0</v>
      </c>
      <c r="E381" s="1"/>
      <c r="F381" s="2">
        <f>LET(
 _xlpm.t,dss_report!$B381, _xlpm.lo,18, _xlpm.hi,28,
 IF(AND(_xlpm.t&gt;=_xlpm.lo, _xlpm.t&lt;=_xlpm.hi), 1,
   IF(_xlpm.t&lt;_xlpm.lo, MAX(0, 1 - (_xlpm.lo - _xlpm.t)/(_xlpm.lo*0.5)),
             MAX(0, 1 - (_xlpm.t - _xlpm.hi)/(_xlpm.hi*0.5))
   )
 )
)</f>
        <v>1</v>
      </c>
      <c r="G381" s="2">
        <f>LET(
 _xlpm.h,dss_report!$C381, _xlpm.lo,45, _xlpm.hi,70,
 IF(AND(_xlpm.h&gt;=_xlpm.lo, _xlpm.h&lt;=_xlpm.hi), 1,
   IF(_xlpm.h&lt;_xlpm.lo, MAX(0, 1 - (_xlpm.lo - _xlpm.h)/(_xlpm.lo*0.5)),
             MAX(0, 1 - (_xlpm.h - _xlpm.hi)/(_xlpm.hi*0.5))
   )
 )
)</f>
        <v>1</v>
      </c>
      <c r="H381" s="2">
        <f t="shared" si="1"/>
        <v>1</v>
      </c>
      <c r="I381" s="2" t="b">
        <f>IF(OR(dss_report!$D381=TRUE, H381&lt;0.3), TRUE, FALSE)</f>
        <v>0</v>
      </c>
      <c r="J381" s="2" t="b">
        <f>IF( OR( AND(dss_report!$B381&gt;31, dss_report!$C381&lt;38), H381&lt;0.25 ), TRUE, FALSE)</f>
        <v>0</v>
      </c>
      <c r="K381" s="2">
        <f t="shared" si="2"/>
        <v>0</v>
      </c>
      <c r="L381" s="2">
        <f t="shared" si="3"/>
        <v>0</v>
      </c>
      <c r="M381" s="2">
        <f t="shared" si="4"/>
        <v>0</v>
      </c>
      <c r="N381" s="2">
        <f t="shared" si="5"/>
        <v>1</v>
      </c>
      <c r="O381" s="2">
        <f t="shared" si="6"/>
        <v>0</v>
      </c>
      <c r="P381" s="2">
        <f t="shared" si="7"/>
        <v>0</v>
      </c>
    </row>
    <row r="382" ht="14.25" customHeight="1">
      <c r="A382" s="4">
        <v>45447.958333333336</v>
      </c>
      <c r="B382" s="1">
        <v>26.91115886561477</v>
      </c>
      <c r="C382" s="1">
        <v>54.354879467245404</v>
      </c>
      <c r="D382" s="1" t="b">
        <f>IF(AND(dss_report!$B382&gt;30, dss_report!$C382&lt;40), TRUE, FALSE)</f>
        <v>0</v>
      </c>
      <c r="E382" s="1"/>
      <c r="F382" s="2">
        <f>LET(
 _xlpm.t,dss_report!$B382, _xlpm.lo,18, _xlpm.hi,28,
 IF(AND(_xlpm.t&gt;=_xlpm.lo, _xlpm.t&lt;=_xlpm.hi), 1,
   IF(_xlpm.t&lt;_xlpm.lo, MAX(0, 1 - (_xlpm.lo - _xlpm.t)/(_xlpm.lo*0.5)),
             MAX(0, 1 - (_xlpm.t - _xlpm.hi)/(_xlpm.hi*0.5))
   )
 )
)</f>
        <v>1</v>
      </c>
      <c r="G382" s="2">
        <f>LET(
 _xlpm.h,dss_report!$C382, _xlpm.lo,45, _xlpm.hi,70,
 IF(AND(_xlpm.h&gt;=_xlpm.lo, _xlpm.h&lt;=_xlpm.hi), 1,
   IF(_xlpm.h&lt;_xlpm.lo, MAX(0, 1 - (_xlpm.lo - _xlpm.h)/(_xlpm.lo*0.5)),
             MAX(0, 1 - (_xlpm.h - _xlpm.hi)/(_xlpm.hi*0.5))
   )
 )
)</f>
        <v>1</v>
      </c>
      <c r="H382" s="2">
        <f t="shared" si="1"/>
        <v>1</v>
      </c>
      <c r="I382" s="2" t="b">
        <f>IF(OR(dss_report!$D382=TRUE, H382&lt;0.3), TRUE, FALSE)</f>
        <v>0</v>
      </c>
      <c r="J382" s="2" t="b">
        <f>IF( OR( AND(dss_report!$B382&gt;31, dss_report!$C382&lt;38), H382&lt;0.25 ), TRUE, FALSE)</f>
        <v>0</v>
      </c>
      <c r="K382" s="2">
        <f t="shared" si="2"/>
        <v>0</v>
      </c>
      <c r="L382" s="2">
        <f t="shared" si="3"/>
        <v>0</v>
      </c>
      <c r="M382" s="2">
        <f t="shared" si="4"/>
        <v>0</v>
      </c>
      <c r="N382" s="2">
        <f t="shared" si="5"/>
        <v>1</v>
      </c>
      <c r="O382" s="2">
        <f t="shared" si="6"/>
        <v>0</v>
      </c>
      <c r="P382" s="2">
        <f t="shared" si="7"/>
        <v>0</v>
      </c>
    </row>
    <row r="383" ht="14.25" customHeight="1">
      <c r="A383" s="4">
        <v>45447.96875</v>
      </c>
      <c r="B383" s="1">
        <v>27.228049229027675</v>
      </c>
      <c r="C383" s="1">
        <v>55.16600969387783</v>
      </c>
      <c r="D383" s="1" t="b">
        <f>IF(AND(dss_report!$B383&gt;30, dss_report!$C383&lt;40), TRUE, FALSE)</f>
        <v>0</v>
      </c>
      <c r="E383" s="1"/>
      <c r="F383" s="2">
        <f>LET(
 _xlpm.t,dss_report!$B383, _xlpm.lo,18, _xlpm.hi,28,
 IF(AND(_xlpm.t&gt;=_xlpm.lo, _xlpm.t&lt;=_xlpm.hi), 1,
   IF(_xlpm.t&lt;_xlpm.lo, MAX(0, 1 - (_xlpm.lo - _xlpm.t)/(_xlpm.lo*0.5)),
             MAX(0, 1 - (_xlpm.t - _xlpm.hi)/(_xlpm.hi*0.5))
   )
 )
)</f>
        <v>1</v>
      </c>
      <c r="G383" s="2">
        <f>LET(
 _xlpm.h,dss_report!$C383, _xlpm.lo,45, _xlpm.hi,70,
 IF(AND(_xlpm.h&gt;=_xlpm.lo, _xlpm.h&lt;=_xlpm.hi), 1,
   IF(_xlpm.h&lt;_xlpm.lo, MAX(0, 1 - (_xlpm.lo - _xlpm.h)/(_xlpm.lo*0.5)),
             MAX(0, 1 - (_xlpm.h - _xlpm.hi)/(_xlpm.hi*0.5))
   )
 )
)</f>
        <v>1</v>
      </c>
      <c r="H383" s="2">
        <f t="shared" si="1"/>
        <v>1</v>
      </c>
      <c r="I383" s="2" t="b">
        <f>IF(OR(dss_report!$D383=TRUE, H383&lt;0.3), TRUE, FALSE)</f>
        <v>0</v>
      </c>
      <c r="J383" s="2" t="b">
        <f>IF( OR( AND(dss_report!$B383&gt;31, dss_report!$C383&lt;38), H383&lt;0.25 ), TRUE, FALSE)</f>
        <v>0</v>
      </c>
      <c r="K383" s="2">
        <f t="shared" si="2"/>
        <v>0</v>
      </c>
      <c r="L383" s="2">
        <f t="shared" si="3"/>
        <v>0</v>
      </c>
      <c r="M383" s="2">
        <f t="shared" si="4"/>
        <v>0</v>
      </c>
      <c r="N383" s="2">
        <f t="shared" si="5"/>
        <v>1</v>
      </c>
      <c r="O383" s="2">
        <f t="shared" si="6"/>
        <v>0</v>
      </c>
      <c r="P383" s="2">
        <f t="shared" si="7"/>
        <v>0</v>
      </c>
    </row>
    <row r="384" ht="14.25" customHeight="1">
      <c r="A384" s="4">
        <v>45447.979166666664</v>
      </c>
      <c r="B384" s="1">
        <v>26.13872187476554</v>
      </c>
      <c r="C384" s="1">
        <v>57.89803443702516</v>
      </c>
      <c r="D384" s="1" t="b">
        <f>IF(AND(dss_report!$B384&gt;30, dss_report!$C384&lt;40), TRUE, FALSE)</f>
        <v>0</v>
      </c>
      <c r="E384" s="1"/>
      <c r="F384" s="2">
        <f>LET(
 _xlpm.t,dss_report!$B384, _xlpm.lo,18, _xlpm.hi,28,
 IF(AND(_xlpm.t&gt;=_xlpm.lo, _xlpm.t&lt;=_xlpm.hi), 1,
   IF(_xlpm.t&lt;_xlpm.lo, MAX(0, 1 - (_xlpm.lo - _xlpm.t)/(_xlpm.lo*0.5)),
             MAX(0, 1 - (_xlpm.t - _xlpm.hi)/(_xlpm.hi*0.5))
   )
 )
)</f>
        <v>1</v>
      </c>
      <c r="G384" s="2">
        <f>LET(
 _xlpm.h,dss_report!$C384, _xlpm.lo,45, _xlpm.hi,70,
 IF(AND(_xlpm.h&gt;=_xlpm.lo, _xlpm.h&lt;=_xlpm.hi), 1,
   IF(_xlpm.h&lt;_xlpm.lo, MAX(0, 1 - (_xlpm.lo - _xlpm.h)/(_xlpm.lo*0.5)),
             MAX(0, 1 - (_xlpm.h - _xlpm.hi)/(_xlpm.hi*0.5))
   )
 )
)</f>
        <v>1</v>
      </c>
      <c r="H384" s="2">
        <f t="shared" si="1"/>
        <v>1</v>
      </c>
      <c r="I384" s="2" t="b">
        <f>IF(OR(dss_report!$D384=TRUE, H384&lt;0.3), TRUE, FALSE)</f>
        <v>0</v>
      </c>
      <c r="J384" s="2" t="b">
        <f>IF( OR( AND(dss_report!$B384&gt;31, dss_report!$C384&lt;38), H384&lt;0.25 ), TRUE, FALSE)</f>
        <v>0</v>
      </c>
      <c r="K384" s="2">
        <f t="shared" si="2"/>
        <v>0</v>
      </c>
      <c r="L384" s="2">
        <f t="shared" si="3"/>
        <v>0</v>
      </c>
      <c r="M384" s="2">
        <f t="shared" si="4"/>
        <v>0</v>
      </c>
      <c r="N384" s="2">
        <f t="shared" si="5"/>
        <v>1</v>
      </c>
      <c r="O384" s="2">
        <f t="shared" si="6"/>
        <v>0</v>
      </c>
      <c r="P384" s="2">
        <f t="shared" si="7"/>
        <v>0</v>
      </c>
    </row>
    <row r="385" ht="14.25" customHeight="1">
      <c r="A385" s="4">
        <v>45447.989583333336</v>
      </c>
      <c r="B385" s="1">
        <v>26.085169408320322</v>
      </c>
      <c r="C385" s="1">
        <v>57.352612908091935</v>
      </c>
      <c r="D385" s="1" t="b">
        <f>IF(AND(dss_report!$B385&gt;30, dss_report!$C385&lt;40), TRUE, FALSE)</f>
        <v>0</v>
      </c>
      <c r="E385" s="1"/>
      <c r="F385" s="2">
        <f>LET(
 _xlpm.t,dss_report!$B385, _xlpm.lo,18, _xlpm.hi,28,
 IF(AND(_xlpm.t&gt;=_xlpm.lo, _xlpm.t&lt;=_xlpm.hi), 1,
   IF(_xlpm.t&lt;_xlpm.lo, MAX(0, 1 - (_xlpm.lo - _xlpm.t)/(_xlpm.lo*0.5)),
             MAX(0, 1 - (_xlpm.t - _xlpm.hi)/(_xlpm.hi*0.5))
   )
 )
)</f>
        <v>1</v>
      </c>
      <c r="G385" s="2">
        <f>LET(
 _xlpm.h,dss_report!$C385, _xlpm.lo,45, _xlpm.hi,70,
 IF(AND(_xlpm.h&gt;=_xlpm.lo, _xlpm.h&lt;=_xlpm.hi), 1,
   IF(_xlpm.h&lt;_xlpm.lo, MAX(0, 1 - (_xlpm.lo - _xlpm.h)/(_xlpm.lo*0.5)),
             MAX(0, 1 - (_xlpm.h - _xlpm.hi)/(_xlpm.hi*0.5))
   )
 )
)</f>
        <v>1</v>
      </c>
      <c r="H385" s="2">
        <f t="shared" si="1"/>
        <v>1</v>
      </c>
      <c r="I385" s="2" t="b">
        <f>IF(OR(dss_report!$D385=TRUE, H385&lt;0.3), TRUE, FALSE)</f>
        <v>0</v>
      </c>
      <c r="J385" s="2" t="b">
        <f>IF( OR( AND(dss_report!$B385&gt;31, dss_report!$C385&lt;38), H385&lt;0.25 ), TRUE, FALSE)</f>
        <v>0</v>
      </c>
      <c r="K385" s="2">
        <f t="shared" si="2"/>
        <v>0</v>
      </c>
      <c r="L385" s="2">
        <f t="shared" si="3"/>
        <v>0</v>
      </c>
      <c r="M385" s="2">
        <f t="shared" si="4"/>
        <v>0</v>
      </c>
      <c r="N385" s="2">
        <f t="shared" si="5"/>
        <v>1</v>
      </c>
      <c r="O385" s="2">
        <f t="shared" si="6"/>
        <v>0</v>
      </c>
      <c r="P385" s="2">
        <f t="shared" si="7"/>
        <v>0</v>
      </c>
    </row>
    <row r="386" ht="14.25" customHeight="1">
      <c r="A386" s="4">
        <v>45448.0</v>
      </c>
      <c r="B386" s="1">
        <v>25.62808551260701</v>
      </c>
      <c r="C386" s="1">
        <v>57.230499538407514</v>
      </c>
      <c r="D386" s="1" t="b">
        <f>IF(AND(dss_report!$B386&gt;30, dss_report!$C386&lt;40), TRUE, FALSE)</f>
        <v>0</v>
      </c>
      <c r="E386" s="1"/>
      <c r="F386" s="2">
        <f>LET(
 _xlpm.t,dss_report!$B386, _xlpm.lo,18, _xlpm.hi,28,
 IF(AND(_xlpm.t&gt;=_xlpm.lo, _xlpm.t&lt;=_xlpm.hi), 1,
   IF(_xlpm.t&lt;_xlpm.lo, MAX(0, 1 - (_xlpm.lo - _xlpm.t)/(_xlpm.lo*0.5)),
             MAX(0, 1 - (_xlpm.t - _xlpm.hi)/(_xlpm.hi*0.5))
   )
 )
)</f>
        <v>1</v>
      </c>
      <c r="G386" s="2">
        <f>LET(
 _xlpm.h,dss_report!$C386, _xlpm.lo,45, _xlpm.hi,70,
 IF(AND(_xlpm.h&gt;=_xlpm.lo, _xlpm.h&lt;=_xlpm.hi), 1,
   IF(_xlpm.h&lt;_xlpm.lo, MAX(0, 1 - (_xlpm.lo - _xlpm.h)/(_xlpm.lo*0.5)),
             MAX(0, 1 - (_xlpm.h - _xlpm.hi)/(_xlpm.hi*0.5))
   )
 )
)</f>
        <v>1</v>
      </c>
      <c r="H386" s="2">
        <f t="shared" si="1"/>
        <v>1</v>
      </c>
      <c r="I386" s="2" t="b">
        <f>IF(OR(dss_report!$D386=TRUE, H386&lt;0.3), TRUE, FALSE)</f>
        <v>0</v>
      </c>
      <c r="J386" s="2" t="b">
        <f>IF( OR( AND(dss_report!$B386&gt;31, dss_report!$C386&lt;38), H386&lt;0.25 ), TRUE, FALSE)</f>
        <v>0</v>
      </c>
      <c r="K386" s="2">
        <f t="shared" si="2"/>
        <v>0</v>
      </c>
      <c r="L386" s="2">
        <f t="shared" si="3"/>
        <v>0</v>
      </c>
      <c r="M386" s="2">
        <f t="shared" si="4"/>
        <v>0</v>
      </c>
      <c r="N386" s="2">
        <f t="shared" si="5"/>
        <v>1</v>
      </c>
      <c r="O386" s="2">
        <f t="shared" si="6"/>
        <v>0</v>
      </c>
      <c r="P386" s="2">
        <f t="shared" si="7"/>
        <v>0</v>
      </c>
    </row>
    <row r="387" ht="14.25" customHeight="1">
      <c r="A387" s="4">
        <v>45448.010416666664</v>
      </c>
      <c r="B387" s="1">
        <v>25.83068523953546</v>
      </c>
      <c r="C387" s="1">
        <v>60.71506429587509</v>
      </c>
      <c r="D387" s="1" t="b">
        <f>IF(AND(dss_report!$B387&gt;30, dss_report!$C387&lt;40), TRUE, FALSE)</f>
        <v>0</v>
      </c>
      <c r="E387" s="1"/>
      <c r="F387" s="2">
        <f>LET(
 _xlpm.t,dss_report!$B387, _xlpm.lo,18, _xlpm.hi,28,
 IF(AND(_xlpm.t&gt;=_xlpm.lo, _xlpm.t&lt;=_xlpm.hi), 1,
   IF(_xlpm.t&lt;_xlpm.lo, MAX(0, 1 - (_xlpm.lo - _xlpm.t)/(_xlpm.lo*0.5)),
             MAX(0, 1 - (_xlpm.t - _xlpm.hi)/(_xlpm.hi*0.5))
   )
 )
)</f>
        <v>1</v>
      </c>
      <c r="G387" s="2">
        <f>LET(
 _xlpm.h,dss_report!$C387, _xlpm.lo,45, _xlpm.hi,70,
 IF(AND(_xlpm.h&gt;=_xlpm.lo, _xlpm.h&lt;=_xlpm.hi), 1,
   IF(_xlpm.h&lt;_xlpm.lo, MAX(0, 1 - (_xlpm.lo - _xlpm.h)/(_xlpm.lo*0.5)),
             MAX(0, 1 - (_xlpm.h - _xlpm.hi)/(_xlpm.hi*0.5))
   )
 )
)</f>
        <v>1</v>
      </c>
      <c r="H387" s="2">
        <f t="shared" si="1"/>
        <v>1</v>
      </c>
      <c r="I387" s="2" t="b">
        <f>IF(OR(dss_report!$D387=TRUE, H387&lt;0.3), TRUE, FALSE)</f>
        <v>0</v>
      </c>
      <c r="J387" s="2" t="b">
        <f>IF( OR( AND(dss_report!$B387&gt;31, dss_report!$C387&lt;38), H387&lt;0.25 ), TRUE, FALSE)</f>
        <v>0</v>
      </c>
      <c r="K387" s="2">
        <f t="shared" si="2"/>
        <v>0</v>
      </c>
      <c r="L387" s="2">
        <f t="shared" si="3"/>
        <v>0</v>
      </c>
      <c r="M387" s="2">
        <f t="shared" si="4"/>
        <v>0</v>
      </c>
      <c r="N387" s="2">
        <f t="shared" si="5"/>
        <v>1</v>
      </c>
      <c r="O387" s="2">
        <f t="shared" si="6"/>
        <v>0</v>
      </c>
      <c r="P387" s="2">
        <f t="shared" si="7"/>
        <v>0</v>
      </c>
    </row>
    <row r="388" ht="14.25" customHeight="1">
      <c r="A388" s="4">
        <v>45448.020833333336</v>
      </c>
      <c r="B388" s="1">
        <v>27.125107197096035</v>
      </c>
      <c r="C388" s="1">
        <v>56.58172194021559</v>
      </c>
      <c r="D388" s="1" t="b">
        <f>IF(AND(dss_report!$B388&gt;30, dss_report!$C388&lt;40), TRUE, FALSE)</f>
        <v>0</v>
      </c>
      <c r="E388" s="1"/>
      <c r="F388" s="2">
        <f>LET(
 _xlpm.t,dss_report!$B388, _xlpm.lo,18, _xlpm.hi,28,
 IF(AND(_xlpm.t&gt;=_xlpm.lo, _xlpm.t&lt;=_xlpm.hi), 1,
   IF(_xlpm.t&lt;_xlpm.lo, MAX(0, 1 - (_xlpm.lo - _xlpm.t)/(_xlpm.lo*0.5)),
             MAX(0, 1 - (_xlpm.t - _xlpm.hi)/(_xlpm.hi*0.5))
   )
 )
)</f>
        <v>1</v>
      </c>
      <c r="G388" s="2">
        <f>LET(
 _xlpm.h,dss_report!$C388, _xlpm.lo,45, _xlpm.hi,70,
 IF(AND(_xlpm.h&gt;=_xlpm.lo, _xlpm.h&lt;=_xlpm.hi), 1,
   IF(_xlpm.h&lt;_xlpm.lo, MAX(0, 1 - (_xlpm.lo - _xlpm.h)/(_xlpm.lo*0.5)),
             MAX(0, 1 - (_xlpm.h - _xlpm.hi)/(_xlpm.hi*0.5))
   )
 )
)</f>
        <v>1</v>
      </c>
      <c r="H388" s="2">
        <f t="shared" si="1"/>
        <v>1</v>
      </c>
      <c r="I388" s="2" t="b">
        <f>IF(OR(dss_report!$D388=TRUE, H388&lt;0.3), TRUE, FALSE)</f>
        <v>0</v>
      </c>
      <c r="J388" s="2" t="b">
        <f>IF( OR( AND(dss_report!$B388&gt;31, dss_report!$C388&lt;38), H388&lt;0.25 ), TRUE, FALSE)</f>
        <v>0</v>
      </c>
      <c r="K388" s="2">
        <f t="shared" si="2"/>
        <v>0</v>
      </c>
      <c r="L388" s="2">
        <f t="shared" si="3"/>
        <v>0</v>
      </c>
      <c r="M388" s="2">
        <f t="shared" si="4"/>
        <v>0</v>
      </c>
      <c r="N388" s="2">
        <f t="shared" si="5"/>
        <v>1</v>
      </c>
      <c r="O388" s="2">
        <f t="shared" si="6"/>
        <v>0</v>
      </c>
      <c r="P388" s="2">
        <f t="shared" si="7"/>
        <v>0</v>
      </c>
    </row>
    <row r="389" ht="14.25" customHeight="1">
      <c r="A389" s="4">
        <v>45448.03125</v>
      </c>
      <c r="B389" s="1">
        <v>25.565846957379485</v>
      </c>
      <c r="C389" s="1">
        <v>56.841662525656254</v>
      </c>
      <c r="D389" s="1" t="b">
        <f>IF(AND(dss_report!$B389&gt;30, dss_report!$C389&lt;40), TRUE, FALSE)</f>
        <v>0</v>
      </c>
      <c r="E389" s="1"/>
      <c r="F389" s="2">
        <f>LET(
 _xlpm.t,dss_report!$B389, _xlpm.lo,18, _xlpm.hi,28,
 IF(AND(_xlpm.t&gt;=_xlpm.lo, _xlpm.t&lt;=_xlpm.hi), 1,
   IF(_xlpm.t&lt;_xlpm.lo, MAX(0, 1 - (_xlpm.lo - _xlpm.t)/(_xlpm.lo*0.5)),
             MAX(0, 1 - (_xlpm.t - _xlpm.hi)/(_xlpm.hi*0.5))
   )
 )
)</f>
        <v>1</v>
      </c>
      <c r="G389" s="2">
        <f>LET(
 _xlpm.h,dss_report!$C389, _xlpm.lo,45, _xlpm.hi,70,
 IF(AND(_xlpm.h&gt;=_xlpm.lo, _xlpm.h&lt;=_xlpm.hi), 1,
   IF(_xlpm.h&lt;_xlpm.lo, MAX(0, 1 - (_xlpm.lo - _xlpm.h)/(_xlpm.lo*0.5)),
             MAX(0, 1 - (_xlpm.h - _xlpm.hi)/(_xlpm.hi*0.5))
   )
 )
)</f>
        <v>1</v>
      </c>
      <c r="H389" s="2">
        <f t="shared" si="1"/>
        <v>1</v>
      </c>
      <c r="I389" s="2" t="b">
        <f>IF(OR(dss_report!$D389=TRUE, H389&lt;0.3), TRUE, FALSE)</f>
        <v>0</v>
      </c>
      <c r="J389" s="2" t="b">
        <f>IF( OR( AND(dss_report!$B389&gt;31, dss_report!$C389&lt;38), H389&lt;0.25 ), TRUE, FALSE)</f>
        <v>0</v>
      </c>
      <c r="K389" s="2">
        <f t="shared" si="2"/>
        <v>0</v>
      </c>
      <c r="L389" s="2">
        <f t="shared" si="3"/>
        <v>0</v>
      </c>
      <c r="M389" s="2">
        <f t="shared" si="4"/>
        <v>0</v>
      </c>
      <c r="N389" s="2">
        <f t="shared" si="5"/>
        <v>1</v>
      </c>
      <c r="O389" s="2">
        <f t="shared" si="6"/>
        <v>0</v>
      </c>
      <c r="P389" s="2">
        <f t="shared" si="7"/>
        <v>0</v>
      </c>
    </row>
    <row r="390" ht="14.25" customHeight="1">
      <c r="A390" s="4">
        <v>45448.041666666664</v>
      </c>
      <c r="B390" s="1">
        <v>26.508502115223266</v>
      </c>
      <c r="C390" s="1">
        <v>60.22699811390127</v>
      </c>
      <c r="D390" s="1" t="b">
        <f>IF(AND(dss_report!$B390&gt;30, dss_report!$C390&lt;40), TRUE, FALSE)</f>
        <v>0</v>
      </c>
      <c r="E390" s="1"/>
      <c r="F390" s="2">
        <f>LET(
 _xlpm.t,dss_report!$B390, _xlpm.lo,18, _xlpm.hi,28,
 IF(AND(_xlpm.t&gt;=_xlpm.lo, _xlpm.t&lt;=_xlpm.hi), 1,
   IF(_xlpm.t&lt;_xlpm.lo, MAX(0, 1 - (_xlpm.lo - _xlpm.t)/(_xlpm.lo*0.5)),
             MAX(0, 1 - (_xlpm.t - _xlpm.hi)/(_xlpm.hi*0.5))
   )
 )
)</f>
        <v>1</v>
      </c>
      <c r="G390" s="2">
        <f>LET(
 _xlpm.h,dss_report!$C390, _xlpm.lo,45, _xlpm.hi,70,
 IF(AND(_xlpm.h&gt;=_xlpm.lo, _xlpm.h&lt;=_xlpm.hi), 1,
   IF(_xlpm.h&lt;_xlpm.lo, MAX(0, 1 - (_xlpm.lo - _xlpm.h)/(_xlpm.lo*0.5)),
             MAX(0, 1 - (_xlpm.h - _xlpm.hi)/(_xlpm.hi*0.5))
   )
 )
)</f>
        <v>1</v>
      </c>
      <c r="H390" s="2">
        <f t="shared" si="1"/>
        <v>1</v>
      </c>
      <c r="I390" s="2" t="b">
        <f>IF(OR(dss_report!$D390=TRUE, H390&lt;0.3), TRUE, FALSE)</f>
        <v>0</v>
      </c>
      <c r="J390" s="2" t="b">
        <f>IF( OR( AND(dss_report!$B390&gt;31, dss_report!$C390&lt;38), H390&lt;0.25 ), TRUE, FALSE)</f>
        <v>0</v>
      </c>
      <c r="K390" s="2">
        <f t="shared" si="2"/>
        <v>0</v>
      </c>
      <c r="L390" s="2">
        <f t="shared" si="3"/>
        <v>0</v>
      </c>
      <c r="M390" s="2">
        <f t="shared" si="4"/>
        <v>0</v>
      </c>
      <c r="N390" s="2">
        <f t="shared" si="5"/>
        <v>1</v>
      </c>
      <c r="O390" s="2">
        <f t="shared" si="6"/>
        <v>0</v>
      </c>
      <c r="P390" s="2">
        <f t="shared" si="7"/>
        <v>0</v>
      </c>
    </row>
    <row r="391" ht="14.25" customHeight="1">
      <c r="A391" s="4">
        <v>45448.052083333336</v>
      </c>
      <c r="B391" s="1">
        <v>26.112578150446513</v>
      </c>
      <c r="C391" s="1">
        <v>55.55580432330195</v>
      </c>
      <c r="D391" s="1" t="b">
        <f>IF(AND(dss_report!$B391&gt;30, dss_report!$C391&lt;40), TRUE, FALSE)</f>
        <v>0</v>
      </c>
      <c r="E391" s="1"/>
      <c r="F391" s="2">
        <f>LET(
 _xlpm.t,dss_report!$B391, _xlpm.lo,18, _xlpm.hi,28,
 IF(AND(_xlpm.t&gt;=_xlpm.lo, _xlpm.t&lt;=_xlpm.hi), 1,
   IF(_xlpm.t&lt;_xlpm.lo, MAX(0, 1 - (_xlpm.lo - _xlpm.t)/(_xlpm.lo*0.5)),
             MAX(0, 1 - (_xlpm.t - _xlpm.hi)/(_xlpm.hi*0.5))
   )
 )
)</f>
        <v>1</v>
      </c>
      <c r="G391" s="2">
        <f>LET(
 _xlpm.h,dss_report!$C391, _xlpm.lo,45, _xlpm.hi,70,
 IF(AND(_xlpm.h&gt;=_xlpm.lo, _xlpm.h&lt;=_xlpm.hi), 1,
   IF(_xlpm.h&lt;_xlpm.lo, MAX(0, 1 - (_xlpm.lo - _xlpm.h)/(_xlpm.lo*0.5)),
             MAX(0, 1 - (_xlpm.h - _xlpm.hi)/(_xlpm.hi*0.5))
   )
 )
)</f>
        <v>1</v>
      </c>
      <c r="H391" s="2">
        <f t="shared" si="1"/>
        <v>1</v>
      </c>
      <c r="I391" s="2" t="b">
        <f>IF(OR(dss_report!$D391=TRUE, H391&lt;0.3), TRUE, FALSE)</f>
        <v>0</v>
      </c>
      <c r="J391" s="2" t="b">
        <f>IF( OR( AND(dss_report!$B391&gt;31, dss_report!$C391&lt;38), H391&lt;0.25 ), TRUE, FALSE)</f>
        <v>0</v>
      </c>
      <c r="K391" s="2">
        <f t="shared" si="2"/>
        <v>0</v>
      </c>
      <c r="L391" s="2">
        <f t="shared" si="3"/>
        <v>0</v>
      </c>
      <c r="M391" s="2">
        <f t="shared" si="4"/>
        <v>0</v>
      </c>
      <c r="N391" s="2">
        <f t="shared" si="5"/>
        <v>1</v>
      </c>
      <c r="O391" s="2">
        <f t="shared" si="6"/>
        <v>0</v>
      </c>
      <c r="P391" s="2">
        <f t="shared" si="7"/>
        <v>0</v>
      </c>
    </row>
    <row r="392" ht="14.25" customHeight="1">
      <c r="A392" s="4">
        <v>45448.0625</v>
      </c>
      <c r="B392" s="1">
        <v>25.8982890911129</v>
      </c>
      <c r="C392" s="1">
        <v>54.5956111616264</v>
      </c>
      <c r="D392" s="1" t="b">
        <f>IF(AND(dss_report!$B392&gt;30, dss_report!$C392&lt;40), TRUE, FALSE)</f>
        <v>0</v>
      </c>
      <c r="E392" s="1"/>
      <c r="F392" s="2">
        <f>LET(
 _xlpm.t,dss_report!$B392, _xlpm.lo,18, _xlpm.hi,28,
 IF(AND(_xlpm.t&gt;=_xlpm.lo, _xlpm.t&lt;=_xlpm.hi), 1,
   IF(_xlpm.t&lt;_xlpm.lo, MAX(0, 1 - (_xlpm.lo - _xlpm.t)/(_xlpm.lo*0.5)),
             MAX(0, 1 - (_xlpm.t - _xlpm.hi)/(_xlpm.hi*0.5))
   )
 )
)</f>
        <v>1</v>
      </c>
      <c r="G392" s="2">
        <f>LET(
 _xlpm.h,dss_report!$C392, _xlpm.lo,45, _xlpm.hi,70,
 IF(AND(_xlpm.h&gt;=_xlpm.lo, _xlpm.h&lt;=_xlpm.hi), 1,
   IF(_xlpm.h&lt;_xlpm.lo, MAX(0, 1 - (_xlpm.lo - _xlpm.h)/(_xlpm.lo*0.5)),
             MAX(0, 1 - (_xlpm.h - _xlpm.hi)/(_xlpm.hi*0.5))
   )
 )
)</f>
        <v>1</v>
      </c>
      <c r="H392" s="2">
        <f t="shared" si="1"/>
        <v>1</v>
      </c>
      <c r="I392" s="2" t="b">
        <f>IF(OR(dss_report!$D392=TRUE, H392&lt;0.3), TRUE, FALSE)</f>
        <v>0</v>
      </c>
      <c r="J392" s="2" t="b">
        <f>IF( OR( AND(dss_report!$B392&gt;31, dss_report!$C392&lt;38), H392&lt;0.25 ), TRUE, FALSE)</f>
        <v>0</v>
      </c>
      <c r="K392" s="2">
        <f t="shared" si="2"/>
        <v>0</v>
      </c>
      <c r="L392" s="2">
        <f t="shared" si="3"/>
        <v>0</v>
      </c>
      <c r="M392" s="2">
        <f t="shared" si="4"/>
        <v>0</v>
      </c>
      <c r="N392" s="2">
        <f t="shared" si="5"/>
        <v>1</v>
      </c>
      <c r="O392" s="2">
        <f t="shared" si="6"/>
        <v>0</v>
      </c>
      <c r="P392" s="2">
        <f t="shared" si="7"/>
        <v>0</v>
      </c>
    </row>
    <row r="393" ht="14.25" customHeight="1">
      <c r="A393" s="4">
        <v>45448.072916666664</v>
      </c>
      <c r="B393" s="1">
        <v>25.80117351045896</v>
      </c>
      <c r="C393" s="1">
        <v>60.54206968409638</v>
      </c>
      <c r="D393" s="1" t="b">
        <f>IF(AND(dss_report!$B393&gt;30, dss_report!$C393&lt;40), TRUE, FALSE)</f>
        <v>0</v>
      </c>
      <c r="E393" s="1"/>
      <c r="F393" s="2">
        <f>LET(
 _xlpm.t,dss_report!$B393, _xlpm.lo,18, _xlpm.hi,28,
 IF(AND(_xlpm.t&gt;=_xlpm.lo, _xlpm.t&lt;=_xlpm.hi), 1,
   IF(_xlpm.t&lt;_xlpm.lo, MAX(0, 1 - (_xlpm.lo - _xlpm.t)/(_xlpm.lo*0.5)),
             MAX(0, 1 - (_xlpm.t - _xlpm.hi)/(_xlpm.hi*0.5))
   )
 )
)</f>
        <v>1</v>
      </c>
      <c r="G393" s="2">
        <f>LET(
 _xlpm.h,dss_report!$C393, _xlpm.lo,45, _xlpm.hi,70,
 IF(AND(_xlpm.h&gt;=_xlpm.lo, _xlpm.h&lt;=_xlpm.hi), 1,
   IF(_xlpm.h&lt;_xlpm.lo, MAX(0, 1 - (_xlpm.lo - _xlpm.h)/(_xlpm.lo*0.5)),
             MAX(0, 1 - (_xlpm.h - _xlpm.hi)/(_xlpm.hi*0.5))
   )
 )
)</f>
        <v>1</v>
      </c>
      <c r="H393" s="2">
        <f t="shared" si="1"/>
        <v>1</v>
      </c>
      <c r="I393" s="2" t="b">
        <f>IF(OR(dss_report!$D393=TRUE, H393&lt;0.3), TRUE, FALSE)</f>
        <v>0</v>
      </c>
      <c r="J393" s="2" t="b">
        <f>IF( OR( AND(dss_report!$B393&gt;31, dss_report!$C393&lt;38), H393&lt;0.25 ), TRUE, FALSE)</f>
        <v>0</v>
      </c>
      <c r="K393" s="2">
        <f t="shared" si="2"/>
        <v>0</v>
      </c>
      <c r="L393" s="2">
        <f t="shared" si="3"/>
        <v>0</v>
      </c>
      <c r="M393" s="2">
        <f t="shared" si="4"/>
        <v>0</v>
      </c>
      <c r="N393" s="2">
        <f t="shared" si="5"/>
        <v>1</v>
      </c>
      <c r="O393" s="2">
        <f t="shared" si="6"/>
        <v>0</v>
      </c>
      <c r="P393" s="2">
        <f t="shared" si="7"/>
        <v>0</v>
      </c>
    </row>
    <row r="394" ht="14.25" customHeight="1">
      <c r="A394" s="4">
        <v>45448.083333333336</v>
      </c>
      <c r="B394" s="1">
        <v>24.378420270953463</v>
      </c>
      <c r="C394" s="1">
        <v>58.66332584026553</v>
      </c>
      <c r="D394" s="1" t="b">
        <f>IF(AND(dss_report!$B394&gt;30, dss_report!$C394&lt;40), TRUE, FALSE)</f>
        <v>0</v>
      </c>
      <c r="E394" s="1"/>
      <c r="F394" s="2">
        <f>LET(
 _xlpm.t,dss_report!$B394, _xlpm.lo,18, _xlpm.hi,28,
 IF(AND(_xlpm.t&gt;=_xlpm.lo, _xlpm.t&lt;=_xlpm.hi), 1,
   IF(_xlpm.t&lt;_xlpm.lo, MAX(0, 1 - (_xlpm.lo - _xlpm.t)/(_xlpm.lo*0.5)),
             MAX(0, 1 - (_xlpm.t - _xlpm.hi)/(_xlpm.hi*0.5))
   )
 )
)</f>
        <v>1</v>
      </c>
      <c r="G394" s="2">
        <f>LET(
 _xlpm.h,dss_report!$C394, _xlpm.lo,45, _xlpm.hi,70,
 IF(AND(_xlpm.h&gt;=_xlpm.lo, _xlpm.h&lt;=_xlpm.hi), 1,
   IF(_xlpm.h&lt;_xlpm.lo, MAX(0, 1 - (_xlpm.lo - _xlpm.h)/(_xlpm.lo*0.5)),
             MAX(0, 1 - (_xlpm.h - _xlpm.hi)/(_xlpm.hi*0.5))
   )
 )
)</f>
        <v>1</v>
      </c>
      <c r="H394" s="2">
        <f t="shared" si="1"/>
        <v>1</v>
      </c>
      <c r="I394" s="2" t="b">
        <f>IF(OR(dss_report!$D394=TRUE, H394&lt;0.3), TRUE, FALSE)</f>
        <v>0</v>
      </c>
      <c r="J394" s="2" t="b">
        <f>IF( OR( AND(dss_report!$B394&gt;31, dss_report!$C394&lt;38), H394&lt;0.25 ), TRUE, FALSE)</f>
        <v>0</v>
      </c>
      <c r="K394" s="2">
        <f t="shared" si="2"/>
        <v>0</v>
      </c>
      <c r="L394" s="2">
        <f t="shared" si="3"/>
        <v>0</v>
      </c>
      <c r="M394" s="2">
        <f t="shared" si="4"/>
        <v>0</v>
      </c>
      <c r="N394" s="2">
        <f t="shared" si="5"/>
        <v>1</v>
      </c>
      <c r="O394" s="2">
        <f t="shared" si="6"/>
        <v>0</v>
      </c>
      <c r="P394" s="2">
        <f t="shared" si="7"/>
        <v>0</v>
      </c>
    </row>
    <row r="395" ht="14.25" customHeight="1">
      <c r="A395" s="4">
        <v>45448.09375</v>
      </c>
      <c r="B395" s="1">
        <v>25.197491502431653</v>
      </c>
      <c r="C395" s="1">
        <v>59.24548321585955</v>
      </c>
      <c r="D395" s="1" t="b">
        <f>IF(AND(dss_report!$B395&gt;30, dss_report!$C395&lt;40), TRUE, FALSE)</f>
        <v>0</v>
      </c>
      <c r="E395" s="1"/>
      <c r="F395" s="2">
        <f>LET(
 _xlpm.t,dss_report!$B395, _xlpm.lo,18, _xlpm.hi,28,
 IF(AND(_xlpm.t&gt;=_xlpm.lo, _xlpm.t&lt;=_xlpm.hi), 1,
   IF(_xlpm.t&lt;_xlpm.lo, MAX(0, 1 - (_xlpm.lo - _xlpm.t)/(_xlpm.lo*0.5)),
             MAX(0, 1 - (_xlpm.t - _xlpm.hi)/(_xlpm.hi*0.5))
   )
 )
)</f>
        <v>1</v>
      </c>
      <c r="G395" s="2">
        <f>LET(
 _xlpm.h,dss_report!$C395, _xlpm.lo,45, _xlpm.hi,70,
 IF(AND(_xlpm.h&gt;=_xlpm.lo, _xlpm.h&lt;=_xlpm.hi), 1,
   IF(_xlpm.h&lt;_xlpm.lo, MAX(0, 1 - (_xlpm.lo - _xlpm.h)/(_xlpm.lo*0.5)),
             MAX(0, 1 - (_xlpm.h - _xlpm.hi)/(_xlpm.hi*0.5))
   )
 )
)</f>
        <v>1</v>
      </c>
      <c r="H395" s="2">
        <f t="shared" si="1"/>
        <v>1</v>
      </c>
      <c r="I395" s="2" t="b">
        <f>IF(OR(dss_report!$D395=TRUE, H395&lt;0.3), TRUE, FALSE)</f>
        <v>0</v>
      </c>
      <c r="J395" s="2" t="b">
        <f>IF( OR( AND(dss_report!$B395&gt;31, dss_report!$C395&lt;38), H395&lt;0.25 ), TRUE, FALSE)</f>
        <v>0</v>
      </c>
      <c r="K395" s="2">
        <f t="shared" si="2"/>
        <v>0</v>
      </c>
      <c r="L395" s="2">
        <f t="shared" si="3"/>
        <v>0</v>
      </c>
      <c r="M395" s="2">
        <f t="shared" si="4"/>
        <v>0</v>
      </c>
      <c r="N395" s="2">
        <f t="shared" si="5"/>
        <v>1</v>
      </c>
      <c r="O395" s="2">
        <f t="shared" si="6"/>
        <v>0</v>
      </c>
      <c r="P395" s="2">
        <f t="shared" si="7"/>
        <v>0</v>
      </c>
    </row>
    <row r="396" ht="14.25" customHeight="1">
      <c r="A396" s="4">
        <v>45448.104166666664</v>
      </c>
      <c r="B396" s="1">
        <v>25.894180255616746</v>
      </c>
      <c r="C396" s="1">
        <v>59.36581957608258</v>
      </c>
      <c r="D396" s="1" t="b">
        <f>IF(AND(dss_report!$B396&gt;30, dss_report!$C396&lt;40), TRUE, FALSE)</f>
        <v>0</v>
      </c>
      <c r="E396" s="1"/>
      <c r="F396" s="2">
        <f>LET(
 _xlpm.t,dss_report!$B396, _xlpm.lo,18, _xlpm.hi,28,
 IF(AND(_xlpm.t&gt;=_xlpm.lo, _xlpm.t&lt;=_xlpm.hi), 1,
   IF(_xlpm.t&lt;_xlpm.lo, MAX(0, 1 - (_xlpm.lo - _xlpm.t)/(_xlpm.lo*0.5)),
             MAX(0, 1 - (_xlpm.t - _xlpm.hi)/(_xlpm.hi*0.5))
   )
 )
)</f>
        <v>1</v>
      </c>
      <c r="G396" s="2">
        <f>LET(
 _xlpm.h,dss_report!$C396, _xlpm.lo,45, _xlpm.hi,70,
 IF(AND(_xlpm.h&gt;=_xlpm.lo, _xlpm.h&lt;=_xlpm.hi), 1,
   IF(_xlpm.h&lt;_xlpm.lo, MAX(0, 1 - (_xlpm.lo - _xlpm.h)/(_xlpm.lo*0.5)),
             MAX(0, 1 - (_xlpm.h - _xlpm.hi)/(_xlpm.hi*0.5))
   )
 )
)</f>
        <v>1</v>
      </c>
      <c r="H396" s="2">
        <f t="shared" si="1"/>
        <v>1</v>
      </c>
      <c r="I396" s="2" t="b">
        <f>IF(OR(dss_report!$D396=TRUE, H396&lt;0.3), TRUE, FALSE)</f>
        <v>0</v>
      </c>
      <c r="J396" s="2" t="b">
        <f>IF( OR( AND(dss_report!$B396&gt;31, dss_report!$C396&lt;38), H396&lt;0.25 ), TRUE, FALSE)</f>
        <v>0</v>
      </c>
      <c r="K396" s="2">
        <f t="shared" si="2"/>
        <v>0</v>
      </c>
      <c r="L396" s="2">
        <f t="shared" si="3"/>
        <v>0</v>
      </c>
      <c r="M396" s="2">
        <f t="shared" si="4"/>
        <v>0</v>
      </c>
      <c r="N396" s="2">
        <f t="shared" si="5"/>
        <v>1</v>
      </c>
      <c r="O396" s="2">
        <f t="shared" si="6"/>
        <v>0</v>
      </c>
      <c r="P396" s="2">
        <f t="shared" si="7"/>
        <v>0</v>
      </c>
    </row>
    <row r="397" ht="14.25" customHeight="1">
      <c r="A397" s="4">
        <v>45448.114583333336</v>
      </c>
      <c r="B397" s="1">
        <v>24.140236001779964</v>
      </c>
      <c r="C397" s="1">
        <v>59.9376267900343</v>
      </c>
      <c r="D397" s="1" t="b">
        <f>IF(AND(dss_report!$B397&gt;30, dss_report!$C397&lt;40), TRUE, FALSE)</f>
        <v>0</v>
      </c>
      <c r="E397" s="1"/>
      <c r="F397" s="2">
        <f>LET(
 _xlpm.t,dss_report!$B397, _xlpm.lo,18, _xlpm.hi,28,
 IF(AND(_xlpm.t&gt;=_xlpm.lo, _xlpm.t&lt;=_xlpm.hi), 1,
   IF(_xlpm.t&lt;_xlpm.lo, MAX(0, 1 - (_xlpm.lo - _xlpm.t)/(_xlpm.lo*0.5)),
             MAX(0, 1 - (_xlpm.t - _xlpm.hi)/(_xlpm.hi*0.5))
   )
 )
)</f>
        <v>1</v>
      </c>
      <c r="G397" s="2">
        <f>LET(
 _xlpm.h,dss_report!$C397, _xlpm.lo,45, _xlpm.hi,70,
 IF(AND(_xlpm.h&gt;=_xlpm.lo, _xlpm.h&lt;=_xlpm.hi), 1,
   IF(_xlpm.h&lt;_xlpm.lo, MAX(0, 1 - (_xlpm.lo - _xlpm.h)/(_xlpm.lo*0.5)),
             MAX(0, 1 - (_xlpm.h - _xlpm.hi)/(_xlpm.hi*0.5))
   )
 )
)</f>
        <v>1</v>
      </c>
      <c r="H397" s="2">
        <f t="shared" si="1"/>
        <v>1</v>
      </c>
      <c r="I397" s="2" t="b">
        <f>IF(OR(dss_report!$D397=TRUE, H397&lt;0.3), TRUE, FALSE)</f>
        <v>0</v>
      </c>
      <c r="J397" s="2" t="b">
        <f>IF( OR( AND(dss_report!$B397&gt;31, dss_report!$C397&lt;38), H397&lt;0.25 ), TRUE, FALSE)</f>
        <v>0</v>
      </c>
      <c r="K397" s="2">
        <f t="shared" si="2"/>
        <v>0</v>
      </c>
      <c r="L397" s="2">
        <f t="shared" si="3"/>
        <v>0</v>
      </c>
      <c r="M397" s="2">
        <f t="shared" si="4"/>
        <v>0</v>
      </c>
      <c r="N397" s="2">
        <f t="shared" si="5"/>
        <v>1</v>
      </c>
      <c r="O397" s="2">
        <f t="shared" si="6"/>
        <v>0</v>
      </c>
      <c r="P397" s="2">
        <f t="shared" si="7"/>
        <v>0</v>
      </c>
    </row>
    <row r="398" ht="14.25" customHeight="1">
      <c r="A398" s="4">
        <v>45448.125</v>
      </c>
      <c r="B398" s="1">
        <v>24.438347472780848</v>
      </c>
      <c r="C398" s="1">
        <v>57.217475159295084</v>
      </c>
      <c r="D398" s="1" t="b">
        <f>IF(AND(dss_report!$B398&gt;30, dss_report!$C398&lt;40), TRUE, FALSE)</f>
        <v>0</v>
      </c>
      <c r="E398" s="1"/>
      <c r="F398" s="2">
        <f>LET(
 _xlpm.t,dss_report!$B398, _xlpm.lo,18, _xlpm.hi,28,
 IF(AND(_xlpm.t&gt;=_xlpm.lo, _xlpm.t&lt;=_xlpm.hi), 1,
   IF(_xlpm.t&lt;_xlpm.lo, MAX(0, 1 - (_xlpm.lo - _xlpm.t)/(_xlpm.lo*0.5)),
             MAX(0, 1 - (_xlpm.t - _xlpm.hi)/(_xlpm.hi*0.5))
   )
 )
)</f>
        <v>1</v>
      </c>
      <c r="G398" s="2">
        <f>LET(
 _xlpm.h,dss_report!$C398, _xlpm.lo,45, _xlpm.hi,70,
 IF(AND(_xlpm.h&gt;=_xlpm.lo, _xlpm.h&lt;=_xlpm.hi), 1,
   IF(_xlpm.h&lt;_xlpm.lo, MAX(0, 1 - (_xlpm.lo - _xlpm.h)/(_xlpm.lo*0.5)),
             MAX(0, 1 - (_xlpm.h - _xlpm.hi)/(_xlpm.hi*0.5))
   )
 )
)</f>
        <v>1</v>
      </c>
      <c r="H398" s="2">
        <f t="shared" si="1"/>
        <v>1</v>
      </c>
      <c r="I398" s="2" t="b">
        <f>IF(OR(dss_report!$D398=TRUE, H398&lt;0.3), TRUE, FALSE)</f>
        <v>0</v>
      </c>
      <c r="J398" s="2" t="b">
        <f>IF( OR( AND(dss_report!$B398&gt;31, dss_report!$C398&lt;38), H398&lt;0.25 ), TRUE, FALSE)</f>
        <v>0</v>
      </c>
      <c r="K398" s="2">
        <f t="shared" si="2"/>
        <v>0</v>
      </c>
      <c r="L398" s="2">
        <f t="shared" si="3"/>
        <v>0</v>
      </c>
      <c r="M398" s="2">
        <f t="shared" si="4"/>
        <v>0</v>
      </c>
      <c r="N398" s="2">
        <f t="shared" si="5"/>
        <v>1</v>
      </c>
      <c r="O398" s="2">
        <f t="shared" si="6"/>
        <v>0</v>
      </c>
      <c r="P398" s="2">
        <f t="shared" si="7"/>
        <v>0</v>
      </c>
    </row>
    <row r="399" ht="14.25" customHeight="1">
      <c r="A399" s="4">
        <v>45448.135416666664</v>
      </c>
      <c r="B399" s="1">
        <v>23.83220990620464</v>
      </c>
      <c r="C399" s="1">
        <v>58.033667045704206</v>
      </c>
      <c r="D399" s="1" t="b">
        <f>IF(AND(dss_report!$B399&gt;30, dss_report!$C399&lt;40), TRUE, FALSE)</f>
        <v>0</v>
      </c>
      <c r="E399" s="1"/>
      <c r="F399" s="2">
        <f>LET(
 _xlpm.t,dss_report!$B399, _xlpm.lo,18, _xlpm.hi,28,
 IF(AND(_xlpm.t&gt;=_xlpm.lo, _xlpm.t&lt;=_xlpm.hi), 1,
   IF(_xlpm.t&lt;_xlpm.lo, MAX(0, 1 - (_xlpm.lo - _xlpm.t)/(_xlpm.lo*0.5)),
             MAX(0, 1 - (_xlpm.t - _xlpm.hi)/(_xlpm.hi*0.5))
   )
 )
)</f>
        <v>1</v>
      </c>
      <c r="G399" s="2">
        <f>LET(
 _xlpm.h,dss_report!$C399, _xlpm.lo,45, _xlpm.hi,70,
 IF(AND(_xlpm.h&gt;=_xlpm.lo, _xlpm.h&lt;=_xlpm.hi), 1,
   IF(_xlpm.h&lt;_xlpm.lo, MAX(0, 1 - (_xlpm.lo - _xlpm.h)/(_xlpm.lo*0.5)),
             MAX(0, 1 - (_xlpm.h - _xlpm.hi)/(_xlpm.hi*0.5))
   )
 )
)</f>
        <v>1</v>
      </c>
      <c r="H399" s="2">
        <f t="shared" si="1"/>
        <v>1</v>
      </c>
      <c r="I399" s="2" t="b">
        <f>IF(OR(dss_report!$D399=TRUE, H399&lt;0.3), TRUE, FALSE)</f>
        <v>0</v>
      </c>
      <c r="J399" s="2" t="b">
        <f>IF( OR( AND(dss_report!$B399&gt;31, dss_report!$C399&lt;38), H399&lt;0.25 ), TRUE, FALSE)</f>
        <v>0</v>
      </c>
      <c r="K399" s="2">
        <f t="shared" si="2"/>
        <v>0</v>
      </c>
      <c r="L399" s="2">
        <f t="shared" si="3"/>
        <v>0</v>
      </c>
      <c r="M399" s="2">
        <f t="shared" si="4"/>
        <v>0</v>
      </c>
      <c r="N399" s="2">
        <f t="shared" si="5"/>
        <v>1</v>
      </c>
      <c r="O399" s="2">
        <f t="shared" si="6"/>
        <v>0</v>
      </c>
      <c r="P399" s="2">
        <f t="shared" si="7"/>
        <v>0</v>
      </c>
    </row>
    <row r="400" ht="14.25" customHeight="1">
      <c r="A400" s="4">
        <v>45448.145833333336</v>
      </c>
      <c r="B400" s="1">
        <v>24.379340699898556</v>
      </c>
      <c r="C400" s="1">
        <v>55.97484969344882</v>
      </c>
      <c r="D400" s="1" t="b">
        <f>IF(AND(dss_report!$B400&gt;30, dss_report!$C400&lt;40), TRUE, FALSE)</f>
        <v>0</v>
      </c>
      <c r="E400" s="1"/>
      <c r="F400" s="2">
        <f>LET(
 _xlpm.t,dss_report!$B400, _xlpm.lo,18, _xlpm.hi,28,
 IF(AND(_xlpm.t&gt;=_xlpm.lo, _xlpm.t&lt;=_xlpm.hi), 1,
   IF(_xlpm.t&lt;_xlpm.lo, MAX(0, 1 - (_xlpm.lo - _xlpm.t)/(_xlpm.lo*0.5)),
             MAX(0, 1 - (_xlpm.t - _xlpm.hi)/(_xlpm.hi*0.5))
   )
 )
)</f>
        <v>1</v>
      </c>
      <c r="G400" s="2">
        <f>LET(
 _xlpm.h,dss_report!$C400, _xlpm.lo,45, _xlpm.hi,70,
 IF(AND(_xlpm.h&gt;=_xlpm.lo, _xlpm.h&lt;=_xlpm.hi), 1,
   IF(_xlpm.h&lt;_xlpm.lo, MAX(0, 1 - (_xlpm.lo - _xlpm.h)/(_xlpm.lo*0.5)),
             MAX(0, 1 - (_xlpm.h - _xlpm.hi)/(_xlpm.hi*0.5))
   )
 )
)</f>
        <v>1</v>
      </c>
      <c r="H400" s="2">
        <f t="shared" si="1"/>
        <v>1</v>
      </c>
      <c r="I400" s="2" t="b">
        <f>IF(OR(dss_report!$D400=TRUE, H400&lt;0.3), TRUE, FALSE)</f>
        <v>0</v>
      </c>
      <c r="J400" s="2" t="b">
        <f>IF( OR( AND(dss_report!$B400&gt;31, dss_report!$C400&lt;38), H400&lt;0.25 ), TRUE, FALSE)</f>
        <v>0</v>
      </c>
      <c r="K400" s="2">
        <f t="shared" si="2"/>
        <v>0</v>
      </c>
      <c r="L400" s="2">
        <f t="shared" si="3"/>
        <v>0</v>
      </c>
      <c r="M400" s="2">
        <f t="shared" si="4"/>
        <v>0</v>
      </c>
      <c r="N400" s="2">
        <f t="shared" si="5"/>
        <v>1</v>
      </c>
      <c r="O400" s="2">
        <f t="shared" si="6"/>
        <v>0</v>
      </c>
      <c r="P400" s="2">
        <f t="shared" si="7"/>
        <v>0</v>
      </c>
    </row>
    <row r="401" ht="14.25" customHeight="1">
      <c r="A401" s="4">
        <v>45448.15625</v>
      </c>
      <c r="B401" s="1">
        <v>23.245028907693904</v>
      </c>
      <c r="C401" s="1">
        <v>58.48578530650712</v>
      </c>
      <c r="D401" s="1" t="b">
        <f>IF(AND(dss_report!$B401&gt;30, dss_report!$C401&lt;40), TRUE, FALSE)</f>
        <v>0</v>
      </c>
      <c r="E401" s="1"/>
      <c r="F401" s="2">
        <f>LET(
 _xlpm.t,dss_report!$B401, _xlpm.lo,18, _xlpm.hi,28,
 IF(AND(_xlpm.t&gt;=_xlpm.lo, _xlpm.t&lt;=_xlpm.hi), 1,
   IF(_xlpm.t&lt;_xlpm.lo, MAX(0, 1 - (_xlpm.lo - _xlpm.t)/(_xlpm.lo*0.5)),
             MAX(0, 1 - (_xlpm.t - _xlpm.hi)/(_xlpm.hi*0.5))
   )
 )
)</f>
        <v>1</v>
      </c>
      <c r="G401" s="2">
        <f>LET(
 _xlpm.h,dss_report!$C401, _xlpm.lo,45, _xlpm.hi,70,
 IF(AND(_xlpm.h&gt;=_xlpm.lo, _xlpm.h&lt;=_xlpm.hi), 1,
   IF(_xlpm.h&lt;_xlpm.lo, MAX(0, 1 - (_xlpm.lo - _xlpm.h)/(_xlpm.lo*0.5)),
             MAX(0, 1 - (_xlpm.h - _xlpm.hi)/(_xlpm.hi*0.5))
   )
 )
)</f>
        <v>1</v>
      </c>
      <c r="H401" s="2">
        <f t="shared" si="1"/>
        <v>1</v>
      </c>
      <c r="I401" s="2" t="b">
        <f>IF(OR(dss_report!$D401=TRUE, H401&lt;0.3), TRUE, FALSE)</f>
        <v>0</v>
      </c>
      <c r="J401" s="2" t="b">
        <f>IF( OR( AND(dss_report!$B401&gt;31, dss_report!$C401&lt;38), H401&lt;0.25 ), TRUE, FALSE)</f>
        <v>0</v>
      </c>
      <c r="K401" s="2">
        <f t="shared" si="2"/>
        <v>0</v>
      </c>
      <c r="L401" s="2">
        <f t="shared" si="3"/>
        <v>0</v>
      </c>
      <c r="M401" s="2">
        <f t="shared" si="4"/>
        <v>0</v>
      </c>
      <c r="N401" s="2">
        <f t="shared" si="5"/>
        <v>1</v>
      </c>
      <c r="O401" s="2">
        <f t="shared" si="6"/>
        <v>0</v>
      </c>
      <c r="P401" s="2">
        <f t="shared" si="7"/>
        <v>0</v>
      </c>
    </row>
    <row r="402" ht="14.25" customHeight="1">
      <c r="K402" s="5">
        <f t="shared" ref="K402:N402" si="8">SUM(K2:K401)</f>
        <v>67</v>
      </c>
      <c r="L402" s="5">
        <f t="shared" si="8"/>
        <v>1</v>
      </c>
      <c r="M402" s="5">
        <f t="shared" si="8"/>
        <v>0</v>
      </c>
      <c r="N402" s="5">
        <f t="shared" si="8"/>
        <v>332</v>
      </c>
      <c r="O402" s="6">
        <f t="shared" si="6"/>
        <v>0.9852941176</v>
      </c>
      <c r="P402" s="6">
        <f t="shared" si="7"/>
        <v>1</v>
      </c>
    </row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